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80" yWindow="435" windowWidth="12120" windowHeight="7350" activeTab="5"/>
  </bookViews>
  <sheets>
    <sheet name="LEIA-ME" sheetId="1" r:id="rId1"/>
    <sheet name="Cadastro" sheetId="2" r:id="rId2"/>
    <sheet name="Receitas" sheetId="3" r:id="rId3"/>
    <sheet name="Despesas" sheetId="4" r:id="rId4"/>
    <sheet name="Contas" sheetId="5" r:id="rId5"/>
    <sheet name="Fluxo de Caixa" sheetId="6" r:id="rId6"/>
    <sheet name="Dashboard" sheetId="7" r:id="rId7"/>
    <sheet name="Fórmulas" sheetId="8" r:id="rId8"/>
  </sheets>
  <calcPr calcId="124519"/>
</workbook>
</file>

<file path=xl/calcChain.xml><?xml version="1.0" encoding="utf-8"?>
<calcChain xmlns="http://schemas.openxmlformats.org/spreadsheetml/2006/main">
  <c r="H11" i="7"/>
  <c r="E11"/>
  <c r="B11"/>
  <c r="K8"/>
  <c r="K5"/>
  <c r="B26" s="1"/>
  <c r="H5"/>
  <c r="E5"/>
  <c r="B25" s="1"/>
  <c r="B5"/>
  <c r="B8" s="1"/>
  <c r="C34" i="6"/>
  <c r="B34"/>
  <c r="D34" s="1"/>
  <c r="F34" s="1"/>
  <c r="C33"/>
  <c r="B33"/>
  <c r="D33" s="1"/>
  <c r="F33" s="1"/>
  <c r="C32"/>
  <c r="B32"/>
  <c r="D32" s="1"/>
  <c r="F32" s="1"/>
  <c r="C31"/>
  <c r="B31"/>
  <c r="D31" s="1"/>
  <c r="F31" s="1"/>
  <c r="C30"/>
  <c r="B30"/>
  <c r="D30" s="1"/>
  <c r="F30" s="1"/>
  <c r="C29"/>
  <c r="B29"/>
  <c r="D29" s="1"/>
  <c r="F29" s="1"/>
  <c r="C28"/>
  <c r="B28"/>
  <c r="D28" s="1"/>
  <c r="F28" s="1"/>
  <c r="C27"/>
  <c r="B27"/>
  <c r="D27" s="1"/>
  <c r="F27" s="1"/>
  <c r="C26"/>
  <c r="B26"/>
  <c r="D26" s="1"/>
  <c r="F26" s="1"/>
  <c r="C25"/>
  <c r="B25"/>
  <c r="D25" s="1"/>
  <c r="F25" s="1"/>
  <c r="C24"/>
  <c r="B24"/>
  <c r="D24" s="1"/>
  <c r="F24" s="1"/>
  <c r="C23"/>
  <c r="B23"/>
  <c r="D23" s="1"/>
  <c r="F23" s="1"/>
  <c r="C22"/>
  <c r="B22"/>
  <c r="D22" s="1"/>
  <c r="F22" s="1"/>
  <c r="C21"/>
  <c r="B21"/>
  <c r="D21" s="1"/>
  <c r="F21" s="1"/>
  <c r="C20"/>
  <c r="B20"/>
  <c r="D20" s="1"/>
  <c r="F20" s="1"/>
  <c r="C19"/>
  <c r="B19"/>
  <c r="D19" s="1"/>
  <c r="F19" s="1"/>
  <c r="C18"/>
  <c r="B18"/>
  <c r="D18" s="1"/>
  <c r="F18" s="1"/>
  <c r="C17"/>
  <c r="B17"/>
  <c r="D17" s="1"/>
  <c r="F17" s="1"/>
  <c r="C16"/>
  <c r="B16"/>
  <c r="D16" s="1"/>
  <c r="F16" s="1"/>
  <c r="C15"/>
  <c r="B15"/>
  <c r="D15" s="1"/>
  <c r="F15" s="1"/>
  <c r="C14"/>
  <c r="B14"/>
  <c r="D14" s="1"/>
  <c r="F14" s="1"/>
  <c r="C13"/>
  <c r="B13"/>
  <c r="D13" s="1"/>
  <c r="F13" s="1"/>
  <c r="C12"/>
  <c r="B12"/>
  <c r="D12" s="1"/>
  <c r="F12" s="1"/>
  <c r="C11"/>
  <c r="B11"/>
  <c r="D11" s="1"/>
  <c r="F11" s="1"/>
  <c r="C10"/>
  <c r="B10"/>
  <c r="D10" s="1"/>
  <c r="F10" s="1"/>
  <c r="C9"/>
  <c r="B9"/>
  <c r="D9" s="1"/>
  <c r="F9" s="1"/>
  <c r="C8"/>
  <c r="B8"/>
  <c r="D8" s="1"/>
  <c r="F8" s="1"/>
  <c r="C7"/>
  <c r="B7"/>
  <c r="D7" s="1"/>
  <c r="F7" s="1"/>
  <c r="C6"/>
  <c r="B6"/>
  <c r="D6" s="1"/>
  <c r="F6" s="1"/>
  <c r="C5"/>
  <c r="B5"/>
  <c r="D5" s="1"/>
  <c r="F5" s="1"/>
  <c r="C4"/>
  <c r="B4"/>
  <c r="D4" s="1"/>
  <c r="H7" i="5"/>
  <c r="I7" s="1"/>
  <c r="G7"/>
  <c r="G6"/>
  <c r="H6" s="1"/>
  <c r="I6" s="1"/>
  <c r="H5"/>
  <c r="I5" s="1"/>
  <c r="G5"/>
  <c r="G4"/>
  <c r="H4" s="1"/>
  <c r="I4" s="1"/>
  <c r="F13" i="4"/>
  <c r="E13"/>
  <c r="F12"/>
  <c r="E12"/>
  <c r="F11"/>
  <c r="E11"/>
  <c r="F10"/>
  <c r="E10"/>
  <c r="F9"/>
  <c r="E9"/>
  <c r="F8"/>
  <c r="E8"/>
  <c r="F7"/>
  <c r="E7"/>
  <c r="F6"/>
  <c r="E6"/>
  <c r="F5"/>
  <c r="E5"/>
  <c r="F4"/>
  <c r="E4"/>
  <c r="E22" i="7" s="1"/>
  <c r="F13" i="3"/>
  <c r="E13"/>
  <c r="F12"/>
  <c r="E12"/>
  <c r="F11"/>
  <c r="E11"/>
  <c r="F10"/>
  <c r="E10"/>
  <c r="F9"/>
  <c r="E9"/>
  <c r="F8"/>
  <c r="E8"/>
  <c r="F7"/>
  <c r="E7"/>
  <c r="F6"/>
  <c r="E6"/>
  <c r="F5"/>
  <c r="E5"/>
  <c r="F4"/>
  <c r="E4"/>
  <c r="B19" i="7" s="1"/>
  <c r="E4" i="6" l="1"/>
  <c r="E5" s="1"/>
  <c r="E6" s="1"/>
  <c r="E7" s="1"/>
  <c r="E8" s="1"/>
  <c r="E9" s="1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E29" s="1"/>
  <c r="E30" s="1"/>
  <c r="E31" s="1"/>
  <c r="E32" s="1"/>
  <c r="E33" s="1"/>
  <c r="E34" s="1"/>
  <c r="K11" i="7" s="1"/>
  <c r="F4" i="6"/>
  <c r="E8" i="7"/>
  <c r="E16"/>
  <c r="E17"/>
  <c r="E18"/>
  <c r="E19"/>
  <c r="E21"/>
  <c r="B16"/>
  <c r="B17"/>
  <c r="B18"/>
  <c r="E20"/>
  <c r="H8" l="1"/>
  <c r="B27"/>
</calcChain>
</file>

<file path=xl/sharedStrings.xml><?xml version="1.0" encoding="utf-8"?>
<sst xmlns="http://schemas.openxmlformats.org/spreadsheetml/2006/main" count="265" uniqueCount="162">
  <si>
    <t>Projeto Financeiro — DELL | Portfólio</t>
  </si>
  <si>
    <t>PROJETO SIMULADO PARA PORTFÓLIO — não representa trabalho realizado para a Dell Technologies.</t>
  </si>
  <si>
    <t>Objetivo</t>
  </si>
  <si>
    <t>Demonstrar organização e análise de rotinas financeiras em Excel, com controle de receitas, despesas, contas e fluxo de caixa.</t>
  </si>
  <si>
    <t>Ferramentas</t>
  </si>
  <si>
    <t>Microsoft Excel — nível intermediário</t>
  </si>
  <si>
    <t>Período simulado</t>
  </si>
  <si>
    <t>Janeiro de 2026</t>
  </si>
  <si>
    <t>Estrutura</t>
  </si>
  <si>
    <t>Cadastro | Receitas | Despesas | Contas | Fluxo de Caixa | Dashboard</t>
  </si>
  <si>
    <t>Funções aplicadas</t>
  </si>
  <si>
    <t>SOMASES, CONT.SES, SE, PROCV, SEERRO, SOMA e cálculos percentuais</t>
  </si>
  <si>
    <t>Status</t>
  </si>
  <si>
    <t>Concluído para portfólio</t>
  </si>
  <si>
    <t>Observação</t>
  </si>
  <si>
    <t>Todos os valores e lançamentos são fictícios e criados exclusivamente para demonstração.</t>
  </si>
  <si>
    <t>Cadastro de Categorias e Centros de Custo</t>
  </si>
  <si>
    <t>Código</t>
  </si>
  <si>
    <t>Tipo</t>
  </si>
  <si>
    <t>Categoria</t>
  </si>
  <si>
    <t>Centro de Custo</t>
  </si>
  <si>
    <t>REC01</t>
  </si>
  <si>
    <t>Receita</t>
  </si>
  <si>
    <t>Venda de Equipamentos</t>
  </si>
  <si>
    <t>Comercial</t>
  </si>
  <si>
    <t>REC02</t>
  </si>
  <si>
    <t>Serviços e Suporte</t>
  </si>
  <si>
    <t>Serviços</t>
  </si>
  <si>
    <t>REC03</t>
  </si>
  <si>
    <t>Contratos Corporativos</t>
  </si>
  <si>
    <t>Corporativo</t>
  </si>
  <si>
    <t>REC04</t>
  </si>
  <si>
    <t>Outras Receitas</t>
  </si>
  <si>
    <t>Administrativo</t>
  </si>
  <si>
    <t>DES01</t>
  </si>
  <si>
    <t>Despesa</t>
  </si>
  <si>
    <t>Fornecedores</t>
  </si>
  <si>
    <t>Operações</t>
  </si>
  <si>
    <t>DES02</t>
  </si>
  <si>
    <t>Folha de Pagamento</t>
  </si>
  <si>
    <t>Pessoas</t>
  </si>
  <si>
    <t>DES03</t>
  </si>
  <si>
    <t>Marketing</t>
  </si>
  <si>
    <t>DES04</t>
  </si>
  <si>
    <t>Tecnologia e Sistemas</t>
  </si>
  <si>
    <t>TI</t>
  </si>
  <si>
    <t>DES05</t>
  </si>
  <si>
    <t>Logística</t>
  </si>
  <si>
    <t>DES06</t>
  </si>
  <si>
    <t>DES07</t>
  </si>
  <si>
    <t>Impostos e Taxas</t>
  </si>
  <si>
    <t>Financeiro</t>
  </si>
  <si>
    <t>Receitas — Janeiro/2026</t>
  </si>
  <si>
    <t>Data</t>
  </si>
  <si>
    <t>Documento</t>
  </si>
  <si>
    <t>Cliente</t>
  </si>
  <si>
    <t>Valor (R$)</t>
  </si>
  <si>
    <t>NF-1001</t>
  </si>
  <si>
    <t>Cliente Alpha</t>
  </si>
  <si>
    <t>Recebido</t>
  </si>
  <si>
    <t>NF-1002</t>
  </si>
  <si>
    <t>Cliente Beta</t>
  </si>
  <si>
    <t>NF-1003</t>
  </si>
  <si>
    <t>Cliente Gama</t>
  </si>
  <si>
    <t>NF-1004</t>
  </si>
  <si>
    <t>Cliente Delta</t>
  </si>
  <si>
    <t>NF-1005</t>
  </si>
  <si>
    <t>Cliente Épsilon</t>
  </si>
  <si>
    <t>NF-1006</t>
  </si>
  <si>
    <t>Cliente Zeta</t>
  </si>
  <si>
    <t>NF-1007</t>
  </si>
  <si>
    <t>Cliente Eta</t>
  </si>
  <si>
    <t>NF-1008</t>
  </si>
  <si>
    <t>Cliente Teta</t>
  </si>
  <si>
    <t>NF-1009</t>
  </si>
  <si>
    <t>Cliente Iota</t>
  </si>
  <si>
    <t>Pendente</t>
  </si>
  <si>
    <t>NF-1010</t>
  </si>
  <si>
    <t>Cliente Kappa</t>
  </si>
  <si>
    <t>Despesas — Janeiro/2026</t>
  </si>
  <si>
    <t>Fornecedor</t>
  </si>
  <si>
    <t>DOC-2001</t>
  </si>
  <si>
    <t>Fornecedor A</t>
  </si>
  <si>
    <t>Pago</t>
  </si>
  <si>
    <t>DOC-2002</t>
  </si>
  <si>
    <t>Folha Janeiro</t>
  </si>
  <si>
    <t>DOC-2003</t>
  </si>
  <si>
    <t>Agência MKT</t>
  </si>
  <si>
    <t>DOC-2004</t>
  </si>
  <si>
    <t>Sistemas Cloud</t>
  </si>
  <si>
    <t>DOC-2005</t>
  </si>
  <si>
    <t>Transportadora</t>
  </si>
  <si>
    <t>DOC-2006</t>
  </si>
  <si>
    <t>Fornecedor B</t>
  </si>
  <si>
    <t>DOC-2007</t>
  </si>
  <si>
    <t>Escritório e Serviços</t>
  </si>
  <si>
    <t>DOC-2008</t>
  </si>
  <si>
    <t>Impostos</t>
  </si>
  <si>
    <t>DOC-2009</t>
  </si>
  <si>
    <t>Fornecedor C</t>
  </si>
  <si>
    <t>DOC-2010</t>
  </si>
  <si>
    <t>Contas a Receber e a Pagar</t>
  </si>
  <si>
    <t>Data de referência</t>
  </si>
  <si>
    <t>Descrição</t>
  </si>
  <si>
    <t>Vencimento</t>
  </si>
  <si>
    <t>Dias p/ Vencimento</t>
  </si>
  <si>
    <t>Situação</t>
  </si>
  <si>
    <t>Prioridade</t>
  </si>
  <si>
    <t>Critério de alerta (dias)</t>
  </si>
  <si>
    <t>Receber</t>
  </si>
  <si>
    <t>Pagar</t>
  </si>
  <si>
    <t>Fluxo de Caixa Diário — Janeiro/2026</t>
  </si>
  <si>
    <t>Entradas Recebidas (R$)</t>
  </si>
  <si>
    <t>Saídas Pagas (R$)</t>
  </si>
  <si>
    <t>Saldo do Dia (R$)</t>
  </si>
  <si>
    <t>Saldo Acumulado (R$)</t>
  </si>
  <si>
    <t>Movimentação</t>
  </si>
  <si>
    <t>Dashboard Financeiro — Janeiro/2026</t>
  </si>
  <si>
    <t>Visão gerencial do projeto simulado para portfólio</t>
  </si>
  <si>
    <t>Receitas Totais</t>
  </si>
  <si>
    <t>Receitas Recebidas</t>
  </si>
  <si>
    <t>Despesas Totais</t>
  </si>
  <si>
    <t>Despesas Pagas</t>
  </si>
  <si>
    <t>Resultado Previsto</t>
  </si>
  <si>
    <t>Resultado Realizado</t>
  </si>
  <si>
    <t>Margem Realizada</t>
  </si>
  <si>
    <t>Saldo a Receber</t>
  </si>
  <si>
    <t>Saldo a Pagar</t>
  </si>
  <si>
    <t>Qtd. Receitas</t>
  </si>
  <si>
    <t>Qtd. Despesas</t>
  </si>
  <si>
    <t>Saldo Final Caixa</t>
  </si>
  <si>
    <t>Receitas por Categoria</t>
  </si>
  <si>
    <t>Despesas por Categoria</t>
  </si>
  <si>
    <t>Indicador</t>
  </si>
  <si>
    <t>Fórmulas e Funções Aplicadas</t>
  </si>
  <si>
    <t>Função</t>
  </si>
  <si>
    <t>Aplicação no projeto</t>
  </si>
  <si>
    <t>Exemplo</t>
  </si>
  <si>
    <t>Nível demonstrado</t>
  </si>
  <si>
    <t>PROCV + SEERRO</t>
  </si>
  <si>
    <t>Buscar categoria e centro de custo pelo código</t>
  </si>
  <si>
    <t>=SEERRO(PROCV(D4;Cadastro!$A$4:$D$14;3;FALSO);"")</t>
  </si>
  <si>
    <t>Intermediário</t>
  </si>
  <si>
    <t>SOMASES</t>
  </si>
  <si>
    <t>Somar valores por data, status ou categoria</t>
  </si>
  <si>
    <t>=SOMASES(Receitas!$G$4:$G$13;Receitas!$H$4:$H$13;"Recebido")</t>
  </si>
  <si>
    <t>CONT.SES</t>
  </si>
  <si>
    <t>Contar registros conforme critérios</t>
  </si>
  <si>
    <t>=CONT.SES(Receitas!A4:A13;"&gt;0")</t>
  </si>
  <si>
    <t>SE</t>
  </si>
  <si>
    <t>Classificar vencimentos e movimentações</t>
  </si>
  <si>
    <t>=SE(G4&lt;0;"Vencido";"No prazo")</t>
  </si>
  <si>
    <t>SOMA</t>
  </si>
  <si>
    <t>Totalizar receitas e despesas</t>
  </si>
  <si>
    <t>=SOMA(Receitas!G4:G13)</t>
  </si>
  <si>
    <t>Básico/Intermediário</t>
  </si>
  <si>
    <t>SEERRO</t>
  </si>
  <si>
    <t>Evitar erros visíveis nas buscas</t>
  </si>
  <si>
    <t>=SEERRO(PROCV(...);"")</t>
  </si>
  <si>
    <t>Cálculo percentual</t>
  </si>
  <si>
    <t>Calcular margem realizada</t>
  </si>
  <si>
    <t>=SEERRO(Resultado/Receita;0)</t>
  </si>
</sst>
</file>

<file path=xl/styles.xml><?xml version="1.0" encoding="utf-8"?>
<styleSheet xmlns="http://schemas.openxmlformats.org/spreadsheetml/2006/main">
  <numFmts count="3">
    <numFmt numFmtId="44" formatCode="_-&quot;R$&quot;\ * #,##0.00_-;\-&quot;R$&quot;\ * #,##0.00_-;_-&quot;R$&quot;\ * &quot;-&quot;??_-;_-@_-"/>
    <numFmt numFmtId="164" formatCode="\R\$\ #,##0.00;[Red]\(\R\$\ #,##0.00\);\-"/>
    <numFmt numFmtId="165" formatCode="&quot;R$&quot;\ #,##0.00"/>
  </numFmts>
  <fonts count="9">
    <font>
      <sz val="11"/>
      <name val="Carlito"/>
    </font>
    <font>
      <b/>
      <sz val="16"/>
      <color rgb="FFFFFFFF"/>
      <name val="Carlito"/>
    </font>
    <font>
      <b/>
      <sz val="11"/>
      <color rgb="FF7F6000"/>
      <name val="Carlito"/>
    </font>
    <font>
      <b/>
      <sz val="11"/>
      <color rgb="FF17324D"/>
      <name val="Carlito"/>
    </font>
    <font>
      <b/>
      <sz val="11"/>
      <color rgb="FFFFFFFF"/>
      <name val="Carlito"/>
    </font>
    <font>
      <sz val="11"/>
      <color rgb="FF0000FF"/>
      <name val="Carlito"/>
    </font>
    <font>
      <i/>
      <sz val="11"/>
      <color rgb="FF17324D"/>
      <name val="Carlito"/>
    </font>
    <font>
      <b/>
      <sz val="13"/>
      <color rgb="FF000000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5F7FA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39">
    <xf numFmtId="0" fontId="0" fillId="0" borderId="0" xfId="0"/>
    <xf numFmtId="0" fontId="3" fillId="4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4" fillId="5" borderId="0" xfId="0" applyNumberFormat="1" applyFont="1" applyFill="1" applyBorder="1" applyAlignment="1">
      <alignment horizontal="center" vertical="center" wrapText="1"/>
    </xf>
    <xf numFmtId="14" fontId="5" fillId="0" borderId="0" xfId="0" applyNumberFormat="1" applyFont="1" applyFill="1" applyBorder="1"/>
    <xf numFmtId="0" fontId="5" fillId="0" borderId="0" xfId="0" applyNumberFormat="1" applyFont="1" applyFill="1" applyBorder="1"/>
    <xf numFmtId="0" fontId="4" fillId="2" borderId="0" xfId="0" applyNumberFormat="1" applyFont="1" applyFill="1" applyBorder="1" applyAlignment="1">
      <alignment horizontal="center" wrapText="1"/>
    </xf>
    <xf numFmtId="0" fontId="7" fillId="6" borderId="0" xfId="0" applyNumberFormat="1" applyFont="1" applyFill="1" applyBorder="1" applyAlignment="1">
      <alignment horizontal="center"/>
    </xf>
    <xf numFmtId="164" fontId="7" fillId="6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ont="1" applyFill="1" applyBorder="1" applyAlignment="1">
      <alignment horizontal="left"/>
    </xf>
    <xf numFmtId="0" fontId="0" fillId="0" borderId="0" xfId="0" applyNumberFormat="1" applyFont="1" applyFill="1" applyBorder="1"/>
    <xf numFmtId="0" fontId="0" fillId="0" borderId="0" xfId="0" applyFont="1"/>
    <xf numFmtId="44" fontId="0" fillId="0" borderId="0" xfId="1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left"/>
    </xf>
    <xf numFmtId="44" fontId="4" fillId="5" borderId="0" xfId="0" applyNumberFormat="1" applyFont="1" applyFill="1" applyBorder="1" applyAlignment="1">
      <alignment horizontal="center" vertical="center" wrapText="1"/>
    </xf>
    <xf numFmtId="44" fontId="0" fillId="0" borderId="0" xfId="0" applyNumberFormat="1"/>
    <xf numFmtId="44" fontId="0" fillId="0" borderId="0" xfId="0" applyNumberFormat="1" applyFont="1" applyFill="1" applyBorder="1" applyAlignment="1">
      <alignment horizontal="left"/>
    </xf>
    <xf numFmtId="165" fontId="7" fillId="6" borderId="0" xfId="0" applyNumberFormat="1" applyFont="1" applyFill="1" applyBorder="1" applyAlignment="1">
      <alignment horizontal="center"/>
    </xf>
    <xf numFmtId="44" fontId="7" fillId="6" borderId="0" xfId="1" applyFont="1" applyFill="1" applyBorder="1" applyAlignment="1">
      <alignment horizontal="center"/>
    </xf>
    <xf numFmtId="9" fontId="7" fillId="6" borderId="0" xfId="2" applyFont="1" applyFill="1" applyBorder="1" applyAlignment="1">
      <alignment horizontal="center"/>
    </xf>
    <xf numFmtId="44" fontId="0" fillId="0" borderId="0" xfId="1" applyFont="1" applyFill="1" applyBorder="1"/>
    <xf numFmtId="44" fontId="4" fillId="5" borderId="0" xfId="1" applyFont="1" applyFill="1" applyBorder="1" applyAlignment="1">
      <alignment horizontal="center" vertical="center" wrapText="1"/>
    </xf>
    <xf numFmtId="165" fontId="4" fillId="5" borderId="0" xfId="1" applyNumberFormat="1" applyFont="1" applyFill="1" applyBorder="1" applyAlignment="1">
      <alignment horizontal="center" vertical="center" wrapText="1"/>
    </xf>
    <xf numFmtId="165" fontId="0" fillId="0" borderId="0" xfId="1" applyNumberFormat="1" applyFont="1" applyFill="1" applyBorder="1" applyAlignment="1">
      <alignment horizontal="left" vertical="center"/>
    </xf>
    <xf numFmtId="165" fontId="0" fillId="0" borderId="0" xfId="1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44" fontId="0" fillId="0" borderId="0" xfId="1" applyFont="1" applyFill="1" applyBorder="1" applyAlignment="1">
      <alignment horizontal="left"/>
    </xf>
    <xf numFmtId="44" fontId="0" fillId="0" borderId="0" xfId="1" applyFont="1"/>
    <xf numFmtId="0" fontId="1" fillId="2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center"/>
    </xf>
    <xf numFmtId="0" fontId="6" fillId="4" borderId="0" xfId="0" applyNumberFormat="1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43">
    <dxf>
      <fill>
        <patternFill>
          <bgColor rgb="FFFF7F61"/>
        </patternFill>
      </fill>
    </dxf>
    <dxf>
      <alignment horizontal="left" vertical="center" textRotation="0" indent="0" relativeIndent="255" justifyLastLine="0" shrinkToFit="0" readingOrder="0"/>
    </dxf>
    <dxf>
      <numFmt numFmtId="165" formatCode="&quot;R$&quot;\ #,##0.00"/>
      <alignment horizontal="left" vertical="center" textRotation="0" indent="0" relativeIndent="255" justifyLastLine="0" shrinkToFit="0" readingOrder="0"/>
    </dxf>
    <dxf>
      <numFmt numFmtId="165" formatCode="&quot;R$&quot;\ #,##0.00"/>
      <alignment horizontal="left" vertical="center" textRotation="0" indent="0" relativeIndent="255" justifyLastLine="0" shrinkToFit="0" readingOrder="0"/>
    </dxf>
    <dxf>
      <numFmt numFmtId="165" formatCode="&quot;R$&quot;\ #,##0.00"/>
      <alignment horizontal="left" vertical="center" textRotation="0" indent="0" relativeIndent="255" justifyLastLine="0" shrinkToFit="0" readingOrder="0"/>
    </dxf>
    <dxf>
      <numFmt numFmtId="165" formatCode="&quot;R$&quot;\ #,##0.00"/>
      <alignment horizontal="left" vertical="center" textRotation="0" indent="0" relativeIndent="255" justifyLastLine="0" shrinkToFit="0" readingOrder="0"/>
    </dxf>
    <dxf>
      <alignment horizontal="center" vertical="center" textRotation="0" indent="0" relativeIndent="255" justifyLastLine="0" shrinkToFit="0" readingOrder="0"/>
    </dxf>
    <dxf>
      <alignment horizontal="center" vertical="center" textRotation="0" indent="0" relativeIndent="255" justifyLastLine="0" shrinkToFit="0" readingOrder="0"/>
    </dxf>
    <dxf>
      <alignment horizontal="center" vertical="center" textRotation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alignment horizontal="left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numFmt numFmtId="34" formatCode="_-&quot;R$&quot;\ * #,##0.00_-;\-&quot;R$&quot;\ * #,##0.00_-;_-&quot;R$&quot;\ * &quot;-&quot;??_-;_-@_-"/>
      <alignment horizontal="left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alignment horizontal="left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</dxf>
    <dxf>
      <font>
        <color rgb="FF006100"/>
      </font>
      <fill>
        <patternFill patternType="solid">
          <bgColor rgb="FFC6EFCE"/>
        </patternFill>
      </fill>
    </dxf>
    <dxf>
      <font>
        <b/>
        <color rgb="FF9C6500"/>
      </font>
      <fill>
        <patternFill patternType="solid">
          <bgColor rgb="FFFFEB9C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numFmt numFmtId="34" formatCode="_-&quot;R$&quot;\ * #,##0.00_-;\-&quot;R$&quot;\ * #,##0.00_-;_-&quot;R$&quot;\ * &quot;-&quot;??_-;_-@_-"/>
      <alignment horizontal="left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alignment horizontal="left" vertical="top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</dxf>
    <dxf>
      <alignment horizontal="center" textRotation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alignment horizontal="left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</dxf>
    <dxf>
      <alignment horizontal="left" vertical="bottom" textRotation="0" wrapText="0" indent="0" relativeIndent="255" justifyLastLine="0" shrinkToFit="0" mergeCell="0" readingOrder="0"/>
    </dxf>
    <dxf>
      <alignment horizontal="left" vertical="bottom" textRotation="0" wrapText="0" indent="0" relativeIndent="255" justifyLastLine="0" shrinkToFit="0" mergeCell="0" readingOrder="0"/>
    </dxf>
    <dxf>
      <alignment horizontal="left" vertical="bottom" textRotation="0" wrapText="0" indent="0" relativeIndent="255" justifyLastLine="0" shrinkToFit="0" mergeCell="0" readingOrder="0"/>
    </dxf>
    <dxf>
      <alignment horizontal="left" vertical="bottom" textRotation="0" wrapText="0" indent="0" relativeIndent="255" justifyLastLine="0" shrinkToFit="0" mergeCell="0" readingOrder="0"/>
    </dxf>
    <dxf>
      <alignment horizontal="left" vertical="bottom" textRotation="0" wrapText="0" indent="0" relativeIndent="255" justifyLastLine="0" shrinkToFit="0" mergeCell="0" readingOrder="0"/>
    </dxf>
  </dxfs>
  <tableStyles count="0" defaultTableStyle="TableStyleMedium9" defaultPivotStyle="PivotStyleLight16"/>
  <colors>
    <mruColors>
      <color rgb="FFFF7F61"/>
      <color rgb="FFFF6B21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r>
              <a:rPr lang="pt-BR"/>
              <a:t>Receitas por Categoria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Valor (R$)</c:v>
          </c:tx>
          <c:cat>
            <c:strRef>
              <c:f>Dashboard!$A$16:$A$19</c:f>
              <c:strCache>
                <c:ptCount val="4"/>
                <c:pt idx="0">
                  <c:v>Venda de Equipamentos</c:v>
                </c:pt>
                <c:pt idx="1">
                  <c:v>Serviços e Suporte</c:v>
                </c:pt>
                <c:pt idx="2">
                  <c:v>Contratos Corporativos</c:v>
                </c:pt>
                <c:pt idx="3">
                  <c:v>Outras Receitas</c:v>
                </c:pt>
              </c:strCache>
            </c:strRef>
          </c:cat>
          <c:val>
            <c:numRef>
              <c:f>Dashboard!$B$16:$B$19</c:f>
              <c:numCache>
                <c:formatCode>_-"R$"\ * #,##0.00_-;\-"R$"\ * #,##0.00_-;_-"R$"\ * "-"??_-;_-@_-</c:formatCode>
                <c:ptCount val="4"/>
                <c:pt idx="0">
                  <c:v>71800</c:v>
                </c:pt>
                <c:pt idx="1">
                  <c:v>27800</c:v>
                </c:pt>
                <c:pt idx="2">
                  <c:v>58700</c:v>
                </c:pt>
                <c:pt idx="3">
                  <c:v>4500</c:v>
                </c:pt>
              </c:numCache>
            </c:numRef>
          </c:val>
        </c:ser>
        <c:axId val="48306048"/>
        <c:axId val="48307584"/>
      </c:barChart>
      <c:catAx>
        <c:axId val="48306048"/>
        <c:scaling>
          <c:orientation val="minMax"/>
        </c:scaling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txPr>
          <a:bodyPr/>
          <a:lstStyle/>
          <a:p>
            <a:pPr>
              <a:defRPr lang="en-US"/>
            </a:pPr>
            <a:endParaRPr lang="pt-BR"/>
          </a:p>
        </c:txPr>
        <c:crossAx val="48307584"/>
        <c:crosses val="autoZero"/>
        <c:lblAlgn val="ctr"/>
        <c:lblOffset val="100"/>
      </c:catAx>
      <c:valAx>
        <c:axId val="48307584"/>
        <c:scaling>
          <c:orientation val="minMax"/>
        </c:scaling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txPr>
          <a:bodyPr/>
          <a:lstStyle/>
          <a:p>
            <a:pPr>
              <a:defRPr lang="en-US"/>
            </a:pPr>
            <a:endParaRPr lang="pt-BR"/>
          </a:p>
        </c:txPr>
        <c:crossAx val="48306048"/>
        <c:crosses val="autoZero"/>
        <c:crossBetween val="between"/>
      </c:valAx>
    </c:plotArea>
    <c:plotVisOnly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r>
              <a:rPr lang="pt-BR"/>
              <a:t>Despesas por Categoria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v>Valor (R$)</c:v>
          </c:tx>
          <c:cat>
            <c:strRef>
              <c:f>Dashboard!$D$16:$D$22</c:f>
              <c:strCache>
                <c:ptCount val="7"/>
                <c:pt idx="0">
                  <c:v>Fornecedores</c:v>
                </c:pt>
                <c:pt idx="1">
                  <c:v>Folha de Pagamento</c:v>
                </c:pt>
                <c:pt idx="2">
                  <c:v>Marketing</c:v>
                </c:pt>
                <c:pt idx="3">
                  <c:v>Tecnologia e Sistemas</c:v>
                </c:pt>
                <c:pt idx="4">
                  <c:v>Logística</c:v>
                </c:pt>
                <c:pt idx="5">
                  <c:v>Administrativo</c:v>
                </c:pt>
                <c:pt idx="6">
                  <c:v>Impostos e Taxas</c:v>
                </c:pt>
              </c:strCache>
            </c:strRef>
          </c:cat>
          <c:val>
            <c:numRef>
              <c:f>Dashboard!$E$16:$E$22</c:f>
              <c:numCache>
                <c:formatCode>_-"R$"\ * #,##0.00_-;\-"R$"\ * #,##0.00_-;_-"R$"\ * "-"??_-;_-@_-</c:formatCode>
                <c:ptCount val="7"/>
                <c:pt idx="0">
                  <c:v>30300</c:v>
                </c:pt>
                <c:pt idx="1">
                  <c:v>38500</c:v>
                </c:pt>
                <c:pt idx="2">
                  <c:v>6200</c:v>
                </c:pt>
                <c:pt idx="3">
                  <c:v>12000</c:v>
                </c:pt>
                <c:pt idx="4">
                  <c:v>5400</c:v>
                </c:pt>
                <c:pt idx="5">
                  <c:v>3100</c:v>
                </c:pt>
                <c:pt idx="6">
                  <c:v>11800</c:v>
                </c:pt>
              </c:numCache>
            </c:numRef>
          </c:val>
        </c:ser>
        <c:axId val="48331776"/>
        <c:axId val="48354048"/>
      </c:barChart>
      <c:catAx>
        <c:axId val="48331776"/>
        <c:scaling>
          <c:orientation val="minMax"/>
        </c:scaling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txPr>
          <a:bodyPr/>
          <a:lstStyle/>
          <a:p>
            <a:pPr>
              <a:defRPr lang="en-US"/>
            </a:pPr>
            <a:endParaRPr lang="pt-BR"/>
          </a:p>
        </c:txPr>
        <c:crossAx val="48354048"/>
        <c:crosses val="autoZero"/>
        <c:lblAlgn val="ctr"/>
        <c:lblOffset val="100"/>
      </c:catAx>
      <c:valAx>
        <c:axId val="48354048"/>
        <c:scaling>
          <c:orientation val="minMax"/>
        </c:scaling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txPr>
          <a:bodyPr/>
          <a:lstStyle/>
          <a:p>
            <a:pPr>
              <a:defRPr lang="en-US"/>
            </a:pPr>
            <a:endParaRPr lang="pt-BR"/>
          </a:p>
        </c:txPr>
        <c:crossAx val="48331776"/>
        <c:crosses val="autoZero"/>
        <c:crossBetween val="between"/>
      </c:valAx>
    </c:plotArea>
    <c:plotVisOnly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r>
              <a:rPr lang="pt-BR"/>
              <a:t>Realizado: Entradas x Saídas x Resultado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v>Valor (R$)</c:v>
          </c:tx>
          <c:cat>
            <c:strRef>
              <c:f>Dashboard!$A$25:$A$27</c:f>
              <c:strCache>
                <c:ptCount val="3"/>
                <c:pt idx="0">
                  <c:v>Receitas Recebidas</c:v>
                </c:pt>
                <c:pt idx="1">
                  <c:v>Despesas Pagas</c:v>
                </c:pt>
                <c:pt idx="2">
                  <c:v>Resultado Realizado</c:v>
                </c:pt>
              </c:strCache>
            </c:strRef>
          </c:cat>
          <c:val>
            <c:numRef>
              <c:f>Dashboard!$B$25:$B$27</c:f>
              <c:numCache>
                <c:formatCode>_-"R$"\ * #,##0.00_-;\-"R$"\ * #,##0.00_-;_-"R$"\ * "-"??_-;_-@_-</c:formatCode>
                <c:ptCount val="3"/>
                <c:pt idx="0">
                  <c:v>134100</c:v>
                </c:pt>
                <c:pt idx="1">
                  <c:v>94800</c:v>
                </c:pt>
                <c:pt idx="2">
                  <c:v>39300</c:v>
                </c:pt>
              </c:numCache>
            </c:numRef>
          </c:val>
        </c:ser>
        <c:axId val="48377856"/>
        <c:axId val="48379392"/>
      </c:barChart>
      <c:catAx>
        <c:axId val="48377856"/>
        <c:scaling>
          <c:orientation val="minMax"/>
        </c:scaling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txPr>
          <a:bodyPr/>
          <a:lstStyle/>
          <a:p>
            <a:pPr>
              <a:defRPr lang="en-US"/>
            </a:pPr>
            <a:endParaRPr lang="pt-BR"/>
          </a:p>
        </c:txPr>
        <c:crossAx val="48379392"/>
        <c:crosses val="autoZero"/>
        <c:lblAlgn val="ctr"/>
        <c:lblOffset val="100"/>
      </c:catAx>
      <c:valAx>
        <c:axId val="48379392"/>
        <c:scaling>
          <c:orientation val="minMax"/>
        </c:scaling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txPr>
          <a:bodyPr/>
          <a:lstStyle/>
          <a:p>
            <a:pPr>
              <a:defRPr lang="en-US"/>
            </a:pPr>
            <a:endParaRPr lang="pt-BR"/>
          </a:p>
        </c:txPr>
        <c:crossAx val="48377856"/>
        <c:crosses val="autoZero"/>
        <c:crossBetween val="between"/>
      </c:valAx>
    </c:plotArea>
    <c:plotVisOnly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14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28</xdr:row>
      <xdr:rowOff>0</xdr:rowOff>
    </xdr:from>
    <xdr:to>
      <xdr:col>14</xdr:col>
      <xdr:colOff>0</xdr:colOff>
      <xdr:row>43</xdr:row>
      <xdr:rowOff>0</xdr:rowOff>
    </xdr:to>
    <xdr:graphicFrame macro="">
      <xdr:nvGraphicFramePr>
        <xdr:cNvPr id="3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6</xdr:col>
      <xdr:colOff>0</xdr:colOff>
      <xdr:row>43</xdr:row>
      <xdr:rowOff>0</xdr:rowOff>
    </xdr:to>
    <xdr:graphicFrame macro="">
      <xdr:nvGraphicFramePr>
        <xdr:cNvPr id="4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adastroTable" displayName="CadastroTable" ref="A3:D14" totalsRowShown="0" dataDxfId="42">
  <tableColumns count="4">
    <tableColumn id="1" name="Código" dataDxfId="41"/>
    <tableColumn id="2" name="Tipo" dataDxfId="40"/>
    <tableColumn id="3" name="Categoria" dataDxfId="39"/>
    <tableColumn id="4" name="Centro de Custo" data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ceitasTable" displayName="ReceitasTable" ref="A3:H13" totalsRowShown="0" dataDxfId="37">
  <tableColumns count="8">
    <tableColumn id="1" name="Data" dataDxfId="36"/>
    <tableColumn id="2" name="Documento" dataDxfId="35"/>
    <tableColumn id="3" name="Cliente" dataDxfId="34"/>
    <tableColumn id="4" name="Código" dataDxfId="33"/>
    <tableColumn id="5" name="Categoria" dataDxfId="32"/>
    <tableColumn id="6" name="Centro de Custo" dataDxfId="31"/>
    <tableColumn id="7" name="Valor (R$)" dataDxfId="30" dataCellStyle="Moeda"/>
    <tableColumn id="8" name="Status" dataDxfId="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spesasTable" displayName="DespesasTable" ref="A3:H13" totalsRowShown="0" headerRowDxfId="28" dataDxfId="27">
  <tableColumns count="8">
    <tableColumn id="1" name="Data" dataDxfId="26"/>
    <tableColumn id="2" name="Documento" dataDxfId="25"/>
    <tableColumn id="3" name="Fornecedor" dataDxfId="24"/>
    <tableColumn id="4" name="Código" dataDxfId="23"/>
    <tableColumn id="5" name="Categoria" dataDxfId="22"/>
    <tableColumn id="6" name="Centro de Custo" dataDxfId="21"/>
    <tableColumn id="7" name="Valor (R$)" dataDxfId="20" dataCellStyle="Moeda"/>
    <tableColumn id="8" name="Status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ntasTable" displayName="ContasTable" ref="A3:I7" totalsRowShown="0">
  <tableColumns count="9">
    <tableColumn id="1" name="Tipo" dataDxfId="15"/>
    <tableColumn id="2" name="Documento" dataDxfId="14"/>
    <tableColumn id="3" name="Descrição" dataDxfId="13"/>
    <tableColumn id="4" name="Vencimento" dataDxfId="12"/>
    <tableColumn id="5" name="Valor (R$)" dataDxfId="11"/>
    <tableColumn id="6" name="Status" dataDxfId="10"/>
    <tableColumn id="7" name="Dias p/ Vencimento" dataDxfId="9"/>
    <tableColumn id="8" name="Situação"/>
    <tableColumn id="9" name="Priorida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luxoTable" displayName="FluxoTable" ref="A3:F34" totalsRowShown="0" headerRowDxfId="8" dataDxfId="7">
  <tableColumns count="6">
    <tableColumn id="1" name="Data" dataDxfId="6"/>
    <tableColumn id="2" name="Entradas Recebidas (R$)" dataDxfId="5" dataCellStyle="Moeda"/>
    <tableColumn id="3" name="Saídas Pagas (R$)" dataDxfId="4" dataCellStyle="Moeda"/>
    <tableColumn id="4" name="Saldo do Dia (R$)" dataDxfId="3" dataCellStyle="Moeda"/>
    <tableColumn id="5" name="Saldo Acumulado (R$)" dataDxfId="2" dataCellStyle="Moeda"/>
    <tableColumn id="6" name="Movimentaçã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selection sqref="A1:G1"/>
    </sheetView>
  </sheetViews>
  <sheetFormatPr defaultRowHeight="14.25"/>
  <cols>
    <col min="1" max="1" width="22" customWidth="1"/>
    <col min="2" max="2" width="70" customWidth="1"/>
  </cols>
  <sheetData>
    <row r="1" spans="1:7" ht="30" customHeight="1">
      <c r="A1" s="35" t="s">
        <v>0</v>
      </c>
      <c r="B1" s="35"/>
      <c r="C1" s="35"/>
      <c r="D1" s="35"/>
      <c r="E1" s="35"/>
      <c r="F1" s="35"/>
      <c r="G1" s="35"/>
    </row>
    <row r="3" spans="1:7" ht="32.1" customHeight="1">
      <c r="A3" s="36" t="s">
        <v>1</v>
      </c>
      <c r="B3" s="36"/>
      <c r="C3" s="36"/>
      <c r="D3" s="36"/>
      <c r="E3" s="36"/>
      <c r="F3" s="36"/>
      <c r="G3" s="36"/>
    </row>
    <row r="5" spans="1:7" ht="29.25">
      <c r="A5" s="1" t="s">
        <v>2</v>
      </c>
      <c r="B5" s="2" t="s">
        <v>3</v>
      </c>
    </row>
    <row r="6" spans="1:7" ht="15">
      <c r="A6" s="1" t="s">
        <v>4</v>
      </c>
      <c r="B6" s="2" t="s">
        <v>5</v>
      </c>
    </row>
    <row r="7" spans="1:7" ht="15">
      <c r="A7" s="1" t="s">
        <v>6</v>
      </c>
      <c r="B7" s="2" t="s">
        <v>7</v>
      </c>
    </row>
    <row r="8" spans="1:7" ht="15">
      <c r="A8" s="1" t="s">
        <v>8</v>
      </c>
      <c r="B8" s="2" t="s">
        <v>9</v>
      </c>
    </row>
    <row r="9" spans="1:7" ht="15">
      <c r="A9" s="1" t="s">
        <v>10</v>
      </c>
      <c r="B9" s="2" t="s">
        <v>11</v>
      </c>
    </row>
    <row r="10" spans="1:7" ht="15">
      <c r="A10" s="1" t="s">
        <v>12</v>
      </c>
      <c r="B10" s="2" t="s">
        <v>13</v>
      </c>
    </row>
    <row r="11" spans="1:7" ht="29.25">
      <c r="A11" s="1" t="s">
        <v>14</v>
      </c>
      <c r="B11" s="2" t="s">
        <v>15</v>
      </c>
    </row>
  </sheetData>
  <mergeCells count="2">
    <mergeCell ref="A1:G1"/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selection activeCell="A4" sqref="A4:D14"/>
    </sheetView>
  </sheetViews>
  <sheetFormatPr defaultRowHeight="14.25"/>
  <cols>
    <col min="1" max="1" width="18.375" customWidth="1"/>
    <col min="2" max="2" width="16.75" customWidth="1"/>
    <col min="3" max="3" width="23.625" customWidth="1"/>
    <col min="4" max="4" width="19.5" customWidth="1"/>
  </cols>
  <sheetData>
    <row r="1" spans="1:4" ht="30" customHeight="1">
      <c r="A1" s="35" t="s">
        <v>16</v>
      </c>
      <c r="B1" s="35"/>
      <c r="C1" s="35"/>
      <c r="D1" s="35"/>
    </row>
    <row r="3" spans="1:4" ht="15">
      <c r="A3" s="3" t="s">
        <v>17</v>
      </c>
      <c r="B3" s="3" t="s">
        <v>18</v>
      </c>
      <c r="C3" s="3" t="s">
        <v>19</v>
      </c>
      <c r="D3" s="3" t="s">
        <v>20</v>
      </c>
    </row>
    <row r="4" spans="1:4">
      <c r="A4" s="10" t="s">
        <v>21</v>
      </c>
      <c r="B4" s="10" t="s">
        <v>22</v>
      </c>
      <c r="C4" s="10" t="s">
        <v>23</v>
      </c>
      <c r="D4" s="10" t="s">
        <v>24</v>
      </c>
    </row>
    <row r="5" spans="1:4">
      <c r="A5" s="10" t="s">
        <v>25</v>
      </c>
      <c r="B5" s="10" t="s">
        <v>22</v>
      </c>
      <c r="C5" s="10" t="s">
        <v>26</v>
      </c>
      <c r="D5" s="10" t="s">
        <v>27</v>
      </c>
    </row>
    <row r="6" spans="1:4">
      <c r="A6" s="10" t="s">
        <v>28</v>
      </c>
      <c r="B6" s="10" t="s">
        <v>22</v>
      </c>
      <c r="C6" s="10" t="s">
        <v>29</v>
      </c>
      <c r="D6" s="10" t="s">
        <v>30</v>
      </c>
    </row>
    <row r="7" spans="1:4">
      <c r="A7" s="10" t="s">
        <v>31</v>
      </c>
      <c r="B7" s="10" t="s">
        <v>22</v>
      </c>
      <c r="C7" s="10" t="s">
        <v>32</v>
      </c>
      <c r="D7" s="10" t="s">
        <v>33</v>
      </c>
    </row>
    <row r="8" spans="1:4">
      <c r="A8" s="10" t="s">
        <v>34</v>
      </c>
      <c r="B8" s="10" t="s">
        <v>35</v>
      </c>
      <c r="C8" s="10" t="s">
        <v>36</v>
      </c>
      <c r="D8" s="10" t="s">
        <v>37</v>
      </c>
    </row>
    <row r="9" spans="1:4">
      <c r="A9" s="10" t="s">
        <v>38</v>
      </c>
      <c r="B9" s="10" t="s">
        <v>35</v>
      </c>
      <c r="C9" s="10" t="s">
        <v>39</v>
      </c>
      <c r="D9" s="10" t="s">
        <v>40</v>
      </c>
    </row>
    <row r="10" spans="1:4">
      <c r="A10" s="10" t="s">
        <v>41</v>
      </c>
      <c r="B10" s="10" t="s">
        <v>35</v>
      </c>
      <c r="C10" s="10" t="s">
        <v>42</v>
      </c>
      <c r="D10" s="10" t="s">
        <v>42</v>
      </c>
    </row>
    <row r="11" spans="1:4">
      <c r="A11" s="10" t="s">
        <v>43</v>
      </c>
      <c r="B11" s="10" t="s">
        <v>35</v>
      </c>
      <c r="C11" s="10" t="s">
        <v>44</v>
      </c>
      <c r="D11" s="10" t="s">
        <v>45</v>
      </c>
    </row>
    <row r="12" spans="1:4">
      <c r="A12" s="10" t="s">
        <v>46</v>
      </c>
      <c r="B12" s="10" t="s">
        <v>35</v>
      </c>
      <c r="C12" s="10" t="s">
        <v>47</v>
      </c>
      <c r="D12" s="10" t="s">
        <v>37</v>
      </c>
    </row>
    <row r="13" spans="1:4">
      <c r="A13" s="10" t="s">
        <v>48</v>
      </c>
      <c r="B13" s="10" t="s">
        <v>35</v>
      </c>
      <c r="C13" s="10" t="s">
        <v>33</v>
      </c>
      <c r="D13" s="10" t="s">
        <v>33</v>
      </c>
    </row>
    <row r="14" spans="1:4">
      <c r="A14" s="10" t="s">
        <v>49</v>
      </c>
      <c r="B14" s="10" t="s">
        <v>35</v>
      </c>
      <c r="C14" s="10" t="s">
        <v>50</v>
      </c>
      <c r="D14" s="10" t="s">
        <v>51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topLeftCell="B1" workbookViewId="0">
      <selection activeCell="G2" sqref="G1:G1048576"/>
    </sheetView>
  </sheetViews>
  <sheetFormatPr defaultRowHeight="14.25"/>
  <cols>
    <col min="1" max="1" width="9.875" bestFit="1" customWidth="1"/>
    <col min="2" max="2" width="13.625" customWidth="1"/>
    <col min="3" max="3" width="16.125" customWidth="1"/>
    <col min="4" max="4" width="11.125" customWidth="1"/>
    <col min="5" max="5" width="26.875" customWidth="1"/>
    <col min="6" max="6" width="15.625" bestFit="1" customWidth="1"/>
    <col min="7" max="7" width="16.625" style="34" customWidth="1"/>
    <col min="8" max="8" width="11.75" customWidth="1"/>
  </cols>
  <sheetData>
    <row r="1" spans="1:8" ht="30" customHeight="1">
      <c r="A1" s="35" t="s">
        <v>52</v>
      </c>
      <c r="B1" s="35"/>
      <c r="C1" s="35"/>
      <c r="D1" s="35"/>
      <c r="E1" s="35"/>
      <c r="F1" s="35"/>
      <c r="G1" s="35"/>
      <c r="H1" s="35"/>
    </row>
    <row r="3" spans="1:8" ht="15">
      <c r="A3" s="3" t="s">
        <v>53</v>
      </c>
      <c r="B3" s="3" t="s">
        <v>54</v>
      </c>
      <c r="C3" s="3" t="s">
        <v>55</v>
      </c>
      <c r="D3" s="3" t="s">
        <v>17</v>
      </c>
      <c r="E3" s="3" t="s">
        <v>19</v>
      </c>
      <c r="F3" s="3" t="s">
        <v>20</v>
      </c>
      <c r="G3" s="28" t="s">
        <v>56</v>
      </c>
      <c r="H3" s="3" t="s">
        <v>12</v>
      </c>
    </row>
    <row r="4" spans="1:8">
      <c r="A4" s="12">
        <v>46025</v>
      </c>
      <c r="B4" s="19" t="s">
        <v>57</v>
      </c>
      <c r="C4" s="16" t="s">
        <v>58</v>
      </c>
      <c r="D4" s="16" t="s">
        <v>21</v>
      </c>
      <c r="E4" s="17" t="str">
        <f>IFERROR(VLOOKUP(D4,Cadastro!$A$4:$D$14,3,FALSE),"")</f>
        <v>Venda de Equipamentos</v>
      </c>
      <c r="F4" s="17" t="str">
        <f>IFERROR(VLOOKUP(D4,Cadastro!$A$4:$D$14,4,FALSE),"")</f>
        <v>Comercial</v>
      </c>
      <c r="G4" s="33">
        <v>18500</v>
      </c>
      <c r="H4" s="16" t="s">
        <v>59</v>
      </c>
    </row>
    <row r="5" spans="1:8">
      <c r="A5" s="12">
        <v>46028</v>
      </c>
      <c r="B5" s="19" t="s">
        <v>60</v>
      </c>
      <c r="C5" s="16" t="s">
        <v>61</v>
      </c>
      <c r="D5" s="16" t="s">
        <v>25</v>
      </c>
      <c r="E5" s="17" t="str">
        <f>IFERROR(VLOOKUP(D5,Cadastro!$A$4:$D$14,3,FALSE),"")</f>
        <v>Serviços e Suporte</v>
      </c>
      <c r="F5" s="17" t="str">
        <f>IFERROR(VLOOKUP(D5,Cadastro!$A$4:$D$14,4,FALSE),"")</f>
        <v>Serviços</v>
      </c>
      <c r="G5" s="33">
        <v>9200</v>
      </c>
      <c r="H5" s="16" t="s">
        <v>59</v>
      </c>
    </row>
    <row r="6" spans="1:8">
      <c r="A6" s="12">
        <v>46031</v>
      </c>
      <c r="B6" s="19" t="s">
        <v>62</v>
      </c>
      <c r="C6" s="16" t="s">
        <v>63</v>
      </c>
      <c r="D6" s="16" t="s">
        <v>28</v>
      </c>
      <c r="E6" s="17" t="str">
        <f>IFERROR(VLOOKUP(D6,Cadastro!$A$4:$D$14,3,FALSE),"")</f>
        <v>Contratos Corporativos</v>
      </c>
      <c r="F6" s="17" t="str">
        <f>IFERROR(VLOOKUP(D6,Cadastro!$A$4:$D$14,4,FALSE),"")</f>
        <v>Corporativo</v>
      </c>
      <c r="G6" s="33">
        <v>27500</v>
      </c>
      <c r="H6" s="16" t="s">
        <v>59</v>
      </c>
    </row>
    <row r="7" spans="1:8">
      <c r="A7" s="12">
        <v>46034</v>
      </c>
      <c r="B7" s="19" t="s">
        <v>64</v>
      </c>
      <c r="C7" s="16" t="s">
        <v>65</v>
      </c>
      <c r="D7" s="16" t="s">
        <v>21</v>
      </c>
      <c r="E7" s="17" t="str">
        <f>IFERROR(VLOOKUP(D7,Cadastro!$A$4:$D$14,3,FALSE),"")</f>
        <v>Venda de Equipamentos</v>
      </c>
      <c r="F7" s="17" t="str">
        <f>IFERROR(VLOOKUP(D7,Cadastro!$A$4:$D$14,4,FALSE),"")</f>
        <v>Comercial</v>
      </c>
      <c r="G7" s="33">
        <v>14300</v>
      </c>
      <c r="H7" s="16" t="s">
        <v>59</v>
      </c>
    </row>
    <row r="8" spans="1:8">
      <c r="A8" s="12">
        <v>46037</v>
      </c>
      <c r="B8" s="19" t="s">
        <v>66</v>
      </c>
      <c r="C8" s="16" t="s">
        <v>67</v>
      </c>
      <c r="D8" s="16" t="s">
        <v>25</v>
      </c>
      <c r="E8" s="17" t="str">
        <f>IFERROR(VLOOKUP(D8,Cadastro!$A$4:$D$14,3,FALSE),"")</f>
        <v>Serviços e Suporte</v>
      </c>
      <c r="F8" s="17" t="str">
        <f>IFERROR(VLOOKUP(D8,Cadastro!$A$4:$D$14,4,FALSE),"")</f>
        <v>Serviços</v>
      </c>
      <c r="G8" s="33">
        <v>6800</v>
      </c>
      <c r="H8" s="16" t="s">
        <v>59</v>
      </c>
    </row>
    <row r="9" spans="1:8">
      <c r="A9" s="12">
        <v>46041</v>
      </c>
      <c r="B9" s="19" t="s">
        <v>68</v>
      </c>
      <c r="C9" s="16" t="s">
        <v>69</v>
      </c>
      <c r="D9" s="16" t="s">
        <v>21</v>
      </c>
      <c r="E9" s="17" t="str">
        <f>IFERROR(VLOOKUP(D9,Cadastro!$A$4:$D$14,3,FALSE),"")</f>
        <v>Venda de Equipamentos</v>
      </c>
      <c r="F9" s="17" t="str">
        <f>IFERROR(VLOOKUP(D9,Cadastro!$A$4:$D$14,4,FALSE),"")</f>
        <v>Comercial</v>
      </c>
      <c r="G9" s="33">
        <v>22100</v>
      </c>
      <c r="H9" s="16" t="s">
        <v>59</v>
      </c>
    </row>
    <row r="10" spans="1:8">
      <c r="A10" s="12">
        <v>46044</v>
      </c>
      <c r="B10" s="19" t="s">
        <v>70</v>
      </c>
      <c r="C10" s="16" t="s">
        <v>71</v>
      </c>
      <c r="D10" s="16" t="s">
        <v>28</v>
      </c>
      <c r="E10" s="17" t="str">
        <f>IFERROR(VLOOKUP(D10,Cadastro!$A$4:$D$14,3,FALSE),"")</f>
        <v>Contratos Corporativos</v>
      </c>
      <c r="F10" s="17" t="str">
        <f>IFERROR(VLOOKUP(D10,Cadastro!$A$4:$D$14,4,FALSE),"")</f>
        <v>Corporativo</v>
      </c>
      <c r="G10" s="33">
        <v>31200</v>
      </c>
      <c r="H10" s="16" t="s">
        <v>59</v>
      </c>
    </row>
    <row r="11" spans="1:8">
      <c r="A11" s="12">
        <v>46048</v>
      </c>
      <c r="B11" s="19" t="s">
        <v>72</v>
      </c>
      <c r="C11" s="16" t="s">
        <v>73</v>
      </c>
      <c r="D11" s="16" t="s">
        <v>31</v>
      </c>
      <c r="E11" s="17" t="str">
        <f>IFERROR(VLOOKUP(D11,Cadastro!$A$4:$D$14,3,FALSE),"")</f>
        <v>Outras Receitas</v>
      </c>
      <c r="F11" s="17" t="str">
        <f>IFERROR(VLOOKUP(D11,Cadastro!$A$4:$D$14,4,FALSE),"")</f>
        <v>Administrativo</v>
      </c>
      <c r="G11" s="33">
        <v>4500</v>
      </c>
      <c r="H11" s="16" t="s">
        <v>59</v>
      </c>
    </row>
    <row r="12" spans="1:8">
      <c r="A12" s="12">
        <v>46050</v>
      </c>
      <c r="B12" s="19" t="s">
        <v>74</v>
      </c>
      <c r="C12" s="16" t="s">
        <v>75</v>
      </c>
      <c r="D12" s="16" t="s">
        <v>25</v>
      </c>
      <c r="E12" s="17" t="str">
        <f>IFERROR(VLOOKUP(D12,Cadastro!$A$4:$D$14,3,FALSE),"")</f>
        <v>Serviços e Suporte</v>
      </c>
      <c r="F12" s="17" t="str">
        <f>IFERROR(VLOOKUP(D12,Cadastro!$A$4:$D$14,4,FALSE),"")</f>
        <v>Serviços</v>
      </c>
      <c r="G12" s="33">
        <v>11800</v>
      </c>
      <c r="H12" s="16" t="s">
        <v>76</v>
      </c>
    </row>
    <row r="13" spans="1:8">
      <c r="A13" s="12">
        <v>46052</v>
      </c>
      <c r="B13" s="19" t="s">
        <v>77</v>
      </c>
      <c r="C13" s="16" t="s">
        <v>78</v>
      </c>
      <c r="D13" s="16" t="s">
        <v>21</v>
      </c>
      <c r="E13" s="17" t="str">
        <f>IFERROR(VLOOKUP(D13,Cadastro!$A$4:$D$14,3,FALSE),"")</f>
        <v>Venda de Equipamentos</v>
      </c>
      <c r="F13" s="17" t="str">
        <f>IFERROR(VLOOKUP(D13,Cadastro!$A$4:$D$14,4,FALSE),"")</f>
        <v>Comercial</v>
      </c>
      <c r="G13" s="33">
        <v>16900</v>
      </c>
      <c r="H13" s="16" t="s">
        <v>76</v>
      </c>
    </row>
  </sheetData>
  <mergeCells count="1">
    <mergeCell ref="A1:H1"/>
  </mergeCells>
  <dataValidations count="1">
    <dataValidation type="list" sqref="H4:H100">
      <formula1>"Recebido,Pendente"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selection activeCell="G2" sqref="G1:G1048576"/>
    </sheetView>
  </sheetViews>
  <sheetFormatPr defaultRowHeight="14.25"/>
  <cols>
    <col min="1" max="1" width="14.375" style="10" customWidth="1"/>
    <col min="2" max="2" width="18" customWidth="1"/>
    <col min="3" max="3" width="22" customWidth="1"/>
    <col min="4" max="4" width="18" customWidth="1"/>
    <col min="5" max="6" width="24" customWidth="1"/>
    <col min="7" max="7" width="18" style="22" customWidth="1"/>
    <col min="8" max="8" width="16" customWidth="1"/>
  </cols>
  <sheetData>
    <row r="1" spans="1:8" ht="30" customHeight="1">
      <c r="A1" s="35" t="s">
        <v>79</v>
      </c>
      <c r="B1" s="35"/>
      <c r="C1" s="35"/>
      <c r="D1" s="35"/>
      <c r="E1" s="35"/>
      <c r="F1" s="35"/>
      <c r="G1" s="35"/>
      <c r="H1" s="35"/>
    </row>
    <row r="3" spans="1:8" s="11" customFormat="1" ht="15">
      <c r="A3" s="3" t="s">
        <v>53</v>
      </c>
      <c r="B3" s="3" t="s">
        <v>54</v>
      </c>
      <c r="C3" s="3" t="s">
        <v>80</v>
      </c>
      <c r="D3" s="3" t="s">
        <v>17</v>
      </c>
      <c r="E3" s="3" t="s">
        <v>19</v>
      </c>
      <c r="F3" s="3" t="s">
        <v>20</v>
      </c>
      <c r="G3" s="21" t="s">
        <v>56</v>
      </c>
      <c r="H3" s="3" t="s">
        <v>12</v>
      </c>
    </row>
    <row r="4" spans="1:8">
      <c r="A4" s="15">
        <v>46026</v>
      </c>
      <c r="B4" s="16" t="s">
        <v>81</v>
      </c>
      <c r="C4" s="16" t="s">
        <v>82</v>
      </c>
      <c r="D4" s="16" t="s">
        <v>34</v>
      </c>
      <c r="E4" s="17" t="str">
        <f>IFERROR(VLOOKUP(D4,Cadastro!$A$4:$D$14,3,FALSE),"")</f>
        <v>Fornecedores</v>
      </c>
      <c r="F4" s="17" t="str">
        <f>IFERROR(VLOOKUP(D4,Cadastro!$A$4:$D$14,4,FALSE),"")</f>
        <v>Operações</v>
      </c>
      <c r="G4" s="18">
        <v>12400</v>
      </c>
      <c r="H4" s="16" t="s">
        <v>83</v>
      </c>
    </row>
    <row r="5" spans="1:8">
      <c r="A5" s="15">
        <v>46027</v>
      </c>
      <c r="B5" s="16" t="s">
        <v>84</v>
      </c>
      <c r="C5" s="16" t="s">
        <v>85</v>
      </c>
      <c r="D5" s="16" t="s">
        <v>38</v>
      </c>
      <c r="E5" s="17" t="str">
        <f>IFERROR(VLOOKUP(D5,Cadastro!$A$4:$D$14,3,FALSE),"")</f>
        <v>Folha de Pagamento</v>
      </c>
      <c r="F5" s="17" t="str">
        <f>IFERROR(VLOOKUP(D5,Cadastro!$A$4:$D$14,4,FALSE),"")</f>
        <v>Pessoas</v>
      </c>
      <c r="G5" s="18">
        <v>38500</v>
      </c>
      <c r="H5" s="16" t="s">
        <v>83</v>
      </c>
    </row>
    <row r="6" spans="1:8">
      <c r="A6" s="15">
        <v>46030</v>
      </c>
      <c r="B6" s="16" t="s">
        <v>86</v>
      </c>
      <c r="C6" s="16" t="s">
        <v>87</v>
      </c>
      <c r="D6" s="16" t="s">
        <v>41</v>
      </c>
      <c r="E6" s="17" t="str">
        <f>IFERROR(VLOOKUP(D6,Cadastro!$A$4:$D$14,3,FALSE),"")</f>
        <v>Marketing</v>
      </c>
      <c r="F6" s="17" t="str">
        <f>IFERROR(VLOOKUP(D6,Cadastro!$A$4:$D$14,4,FALSE),"")</f>
        <v>Marketing</v>
      </c>
      <c r="G6" s="18">
        <v>6200</v>
      </c>
      <c r="H6" s="16" t="s">
        <v>83</v>
      </c>
    </row>
    <row r="7" spans="1:8">
      <c r="A7" s="15">
        <v>46032</v>
      </c>
      <c r="B7" s="16" t="s">
        <v>88</v>
      </c>
      <c r="C7" s="16" t="s">
        <v>89</v>
      </c>
      <c r="D7" s="16" t="s">
        <v>43</v>
      </c>
      <c r="E7" s="17" t="str">
        <f>IFERROR(VLOOKUP(D7,Cadastro!$A$4:$D$14,3,FALSE),"")</f>
        <v>Tecnologia e Sistemas</v>
      </c>
      <c r="F7" s="17" t="str">
        <f>IFERROR(VLOOKUP(D7,Cadastro!$A$4:$D$14,4,FALSE),"")</f>
        <v>TI</v>
      </c>
      <c r="G7" s="18">
        <v>7800</v>
      </c>
      <c r="H7" s="16" t="s">
        <v>83</v>
      </c>
    </row>
    <row r="8" spans="1:8">
      <c r="A8" s="15">
        <v>46035</v>
      </c>
      <c r="B8" s="16" t="s">
        <v>90</v>
      </c>
      <c r="C8" s="16" t="s">
        <v>91</v>
      </c>
      <c r="D8" s="16" t="s">
        <v>46</v>
      </c>
      <c r="E8" s="17" t="str">
        <f>IFERROR(VLOOKUP(D8,Cadastro!$A$4:$D$14,3,FALSE),"")</f>
        <v>Logística</v>
      </c>
      <c r="F8" s="17" t="str">
        <f>IFERROR(VLOOKUP(D8,Cadastro!$A$4:$D$14,4,FALSE),"")</f>
        <v>Operações</v>
      </c>
      <c r="G8" s="18">
        <v>5400</v>
      </c>
      <c r="H8" s="16" t="s">
        <v>83</v>
      </c>
    </row>
    <row r="9" spans="1:8">
      <c r="A9" s="15">
        <v>46038</v>
      </c>
      <c r="B9" s="16" t="s">
        <v>92</v>
      </c>
      <c r="C9" s="16" t="s">
        <v>93</v>
      </c>
      <c r="D9" s="16" t="s">
        <v>34</v>
      </c>
      <c r="E9" s="17" t="str">
        <f>IFERROR(VLOOKUP(D9,Cadastro!$A$4:$D$14,3,FALSE),"")</f>
        <v>Fornecedores</v>
      </c>
      <c r="F9" s="17" t="str">
        <f>IFERROR(VLOOKUP(D9,Cadastro!$A$4:$D$14,4,FALSE),"")</f>
        <v>Operações</v>
      </c>
      <c r="G9" s="18">
        <v>9600</v>
      </c>
      <c r="H9" s="16" t="s">
        <v>83</v>
      </c>
    </row>
    <row r="10" spans="1:8">
      <c r="A10" s="15">
        <v>46042</v>
      </c>
      <c r="B10" s="16" t="s">
        <v>94</v>
      </c>
      <c r="C10" s="16" t="s">
        <v>95</v>
      </c>
      <c r="D10" s="16" t="s">
        <v>48</v>
      </c>
      <c r="E10" s="17" t="str">
        <f>IFERROR(VLOOKUP(D10,Cadastro!$A$4:$D$14,3,FALSE),"")</f>
        <v>Administrativo</v>
      </c>
      <c r="F10" s="17" t="str">
        <f>IFERROR(VLOOKUP(D10,Cadastro!$A$4:$D$14,4,FALSE),"")</f>
        <v>Administrativo</v>
      </c>
      <c r="G10" s="18">
        <v>3100</v>
      </c>
      <c r="H10" s="16" t="s">
        <v>83</v>
      </c>
    </row>
    <row r="11" spans="1:8">
      <c r="A11" s="15">
        <v>46045</v>
      </c>
      <c r="B11" s="16" t="s">
        <v>96</v>
      </c>
      <c r="C11" s="16" t="s">
        <v>97</v>
      </c>
      <c r="D11" s="16" t="s">
        <v>49</v>
      </c>
      <c r="E11" s="17" t="str">
        <f>IFERROR(VLOOKUP(D11,Cadastro!$A$4:$D$14,3,FALSE),"")</f>
        <v>Impostos e Taxas</v>
      </c>
      <c r="F11" s="17" t="str">
        <f>IFERROR(VLOOKUP(D11,Cadastro!$A$4:$D$14,4,FALSE),"")</f>
        <v>Financeiro</v>
      </c>
      <c r="G11" s="18">
        <v>11800</v>
      </c>
      <c r="H11" s="16" t="s">
        <v>83</v>
      </c>
    </row>
    <row r="12" spans="1:8">
      <c r="A12" s="15">
        <v>46049</v>
      </c>
      <c r="B12" s="16" t="s">
        <v>98</v>
      </c>
      <c r="C12" s="16" t="s">
        <v>99</v>
      </c>
      <c r="D12" s="16" t="s">
        <v>34</v>
      </c>
      <c r="E12" s="17" t="str">
        <f>IFERROR(VLOOKUP(D12,Cadastro!$A$4:$D$14,3,FALSE),"")</f>
        <v>Fornecedores</v>
      </c>
      <c r="F12" s="17" t="str">
        <f>IFERROR(VLOOKUP(D12,Cadastro!$A$4:$D$14,4,FALSE),"")</f>
        <v>Operações</v>
      </c>
      <c r="G12" s="18">
        <v>8300</v>
      </c>
      <c r="H12" s="16" t="s">
        <v>76</v>
      </c>
    </row>
    <row r="13" spans="1:8">
      <c r="A13" s="15">
        <v>46051</v>
      </c>
      <c r="B13" s="16" t="s">
        <v>100</v>
      </c>
      <c r="C13" s="16" t="s">
        <v>89</v>
      </c>
      <c r="D13" s="16" t="s">
        <v>43</v>
      </c>
      <c r="E13" s="17" t="str">
        <f>IFERROR(VLOOKUP(D13,Cadastro!$A$4:$D$14,3,FALSE),"")</f>
        <v>Tecnologia e Sistemas</v>
      </c>
      <c r="F13" s="17" t="str">
        <f>IFERROR(VLOOKUP(D13,Cadastro!$A$4:$D$14,4,FALSE),"")</f>
        <v>TI</v>
      </c>
      <c r="G13" s="18">
        <v>4200</v>
      </c>
      <c r="H13" s="16" t="s">
        <v>76</v>
      </c>
    </row>
  </sheetData>
  <mergeCells count="1">
    <mergeCell ref="A1:H1"/>
  </mergeCells>
  <dataValidations count="1">
    <dataValidation type="list" sqref="H4:H100">
      <formula1>"Pago,Pendente"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7"/>
  <sheetViews>
    <sheetView topLeftCell="D1" workbookViewId="0">
      <selection activeCell="E2" sqref="E1:E1048576"/>
    </sheetView>
  </sheetViews>
  <sheetFormatPr defaultRowHeight="14.25"/>
  <cols>
    <col min="1" max="2" width="18" customWidth="1"/>
    <col min="3" max="3" width="24" customWidth="1"/>
    <col min="4" max="4" width="14.625" customWidth="1"/>
    <col min="5" max="5" width="18" style="22" customWidth="1"/>
    <col min="6" max="9" width="18" customWidth="1"/>
    <col min="11" max="12" width="22" customWidth="1"/>
  </cols>
  <sheetData>
    <row r="1" spans="1:12" ht="30" customHeight="1">
      <c r="A1" s="35" t="s">
        <v>101</v>
      </c>
      <c r="B1" s="35"/>
      <c r="C1" s="35"/>
      <c r="D1" s="35"/>
      <c r="E1" s="35"/>
      <c r="F1" s="35"/>
      <c r="G1" s="35"/>
      <c r="H1" s="35"/>
      <c r="I1" s="35"/>
    </row>
    <row r="2" spans="1:12" ht="15">
      <c r="K2" s="1" t="s">
        <v>102</v>
      </c>
      <c r="L2" s="4">
        <v>46053</v>
      </c>
    </row>
    <row r="3" spans="1:12" ht="15">
      <c r="A3" s="3" t="s">
        <v>18</v>
      </c>
      <c r="B3" s="3" t="s">
        <v>54</v>
      </c>
      <c r="C3" s="3" t="s">
        <v>103</v>
      </c>
      <c r="D3" s="3" t="s">
        <v>104</v>
      </c>
      <c r="E3" s="21" t="s">
        <v>56</v>
      </c>
      <c r="F3" s="3" t="s">
        <v>12</v>
      </c>
      <c r="G3" s="3" t="s">
        <v>105</v>
      </c>
      <c r="H3" s="3" t="s">
        <v>106</v>
      </c>
      <c r="I3" s="3" t="s">
        <v>107</v>
      </c>
      <c r="K3" s="1" t="s">
        <v>108</v>
      </c>
      <c r="L3" s="5">
        <v>7</v>
      </c>
    </row>
    <row r="4" spans="1:12">
      <c r="A4" s="16" t="s">
        <v>109</v>
      </c>
      <c r="B4" s="16" t="s">
        <v>74</v>
      </c>
      <c r="C4" s="16" t="s">
        <v>75</v>
      </c>
      <c r="D4" s="15">
        <v>46058</v>
      </c>
      <c r="E4" s="23">
        <v>11800</v>
      </c>
      <c r="F4" s="20" t="s">
        <v>76</v>
      </c>
      <c r="G4" s="11">
        <f>D4-$L$2</f>
        <v>5</v>
      </c>
      <c r="H4" t="str">
        <f>IF(F4&lt;&gt;"Pendente","Concluído",IF(G4&lt;0,"Vencido",IF(G4&lt;=$L$3,"Vence em breve","No prazo")))</f>
        <v>Vence em breve</v>
      </c>
      <c r="I4" t="str">
        <f>IF(H4="Vencido","Alta",IF(H4="Vence em breve","Média","Normal"))</f>
        <v>Média</v>
      </c>
    </row>
    <row r="5" spans="1:12">
      <c r="A5" s="16" t="s">
        <v>109</v>
      </c>
      <c r="B5" s="16" t="s">
        <v>77</v>
      </c>
      <c r="C5" s="16" t="s">
        <v>78</v>
      </c>
      <c r="D5" s="15">
        <v>46063</v>
      </c>
      <c r="E5" s="23">
        <v>16900</v>
      </c>
      <c r="F5" s="20" t="s">
        <v>76</v>
      </c>
      <c r="G5" s="11">
        <f>D5-$L$2</f>
        <v>10</v>
      </c>
      <c r="H5" t="str">
        <f>IF(F5&lt;&gt;"Pendente","Concluído",IF(G5&lt;0,"Vencido",IF(G5&lt;=$L$3,"Vence em breve","No prazo")))</f>
        <v>No prazo</v>
      </c>
      <c r="I5" t="str">
        <f>IF(H5="Vencido","Alta",IF(H5="Vence em breve","Média","Normal"))</f>
        <v>Normal</v>
      </c>
    </row>
    <row r="6" spans="1:12">
      <c r="A6" s="16" t="s">
        <v>110</v>
      </c>
      <c r="B6" s="16" t="s">
        <v>98</v>
      </c>
      <c r="C6" s="16" t="s">
        <v>99</v>
      </c>
      <c r="D6" s="15">
        <v>46056</v>
      </c>
      <c r="E6" s="23">
        <v>8300</v>
      </c>
      <c r="F6" s="20" t="s">
        <v>76</v>
      </c>
      <c r="G6" s="11">
        <f>D6-$L$2</f>
        <v>3</v>
      </c>
      <c r="H6" t="str">
        <f>IF(F6&lt;&gt;"Pendente","Concluído",IF(G6&lt;0,"Vencido",IF(G6&lt;=$L$3,"Vence em breve","No prazo")))</f>
        <v>Vence em breve</v>
      </c>
      <c r="I6" t="str">
        <f>IF(H6="Vencido","Alta",IF(H6="Vence em breve","Média","Normal"))</f>
        <v>Média</v>
      </c>
    </row>
    <row r="7" spans="1:12">
      <c r="A7" s="16" t="s">
        <v>110</v>
      </c>
      <c r="B7" s="16" t="s">
        <v>100</v>
      </c>
      <c r="C7" s="16" t="s">
        <v>89</v>
      </c>
      <c r="D7" s="15">
        <v>46061</v>
      </c>
      <c r="E7" s="23">
        <v>4200</v>
      </c>
      <c r="F7" s="20" t="s">
        <v>76</v>
      </c>
      <c r="G7" s="11">
        <f>D7-$L$2</f>
        <v>8</v>
      </c>
      <c r="H7" t="str">
        <f>IF(F7&lt;&gt;"Pendente","Concluído",IF(G7&lt;0,"Vencido",IF(G7&lt;=$L$3,"Vence em breve","No prazo")))</f>
        <v>No prazo</v>
      </c>
      <c r="I7" t="str">
        <f>IF(H7="Vencido","Alta",IF(H7="Vence em breve","Média","Normal"))</f>
        <v>Normal</v>
      </c>
    </row>
  </sheetData>
  <mergeCells count="1">
    <mergeCell ref="A1:I1"/>
  </mergeCells>
  <conditionalFormatting sqref="H4:H7">
    <cfRule type="expression" dxfId="18" priority="1">
      <formula>H4="Vencido"</formula>
    </cfRule>
    <cfRule type="expression" dxfId="17" priority="2">
      <formula>H4="Vence em breve"</formula>
    </cfRule>
    <cfRule type="expression" dxfId="16" priority="3">
      <formula>H4="No prazo"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>
      <selection activeCell="A3" sqref="A3:XFD3"/>
    </sheetView>
  </sheetViews>
  <sheetFormatPr defaultRowHeight="14.25"/>
  <cols>
    <col min="1" max="1" width="12.5" style="13" customWidth="1"/>
    <col min="2" max="2" width="23.125" style="31" bestFit="1" customWidth="1"/>
    <col min="3" max="3" width="16.875" style="31" customWidth="1"/>
    <col min="4" max="4" width="16.25" style="31" bestFit="1" customWidth="1"/>
    <col min="5" max="5" width="22" style="31" customWidth="1"/>
    <col min="6" max="6" width="18" style="32" customWidth="1"/>
    <col min="7" max="7" width="9" style="13"/>
  </cols>
  <sheetData>
    <row r="1" spans="1:6" ht="30" customHeight="1">
      <c r="A1" s="37" t="s">
        <v>111</v>
      </c>
      <c r="B1" s="37"/>
      <c r="C1" s="37"/>
      <c r="D1" s="37"/>
      <c r="E1" s="37"/>
      <c r="F1" s="37"/>
    </row>
    <row r="3" spans="1:6" s="13" customFormat="1" ht="15">
      <c r="A3" s="3" t="s">
        <v>53</v>
      </c>
      <c r="B3" s="29" t="s">
        <v>112</v>
      </c>
      <c r="C3" s="29" t="s">
        <v>113</v>
      </c>
      <c r="D3" s="29" t="s">
        <v>114</v>
      </c>
      <c r="E3" s="29" t="s">
        <v>115</v>
      </c>
      <c r="F3" s="3" t="s">
        <v>116</v>
      </c>
    </row>
    <row r="4" spans="1:6">
      <c r="A4" s="14">
        <v>46023</v>
      </c>
      <c r="B4" s="30">
        <f>SUMIFS(Receitas!$G$4:$G$13,Receitas!$A$4:$A$13,A4,Receitas!$H$4:$H$13,"Recebido")</f>
        <v>0</v>
      </c>
      <c r="C4" s="30">
        <f>SUMIFS(Despesas!$G$4:$G$13,Despesas!$A$4:$A$13,A4,Despesas!$H$4:$H$13,"Pago")</f>
        <v>0</v>
      </c>
      <c r="D4" s="30">
        <f t="shared" ref="D4:D34" si="0">B4-C4</f>
        <v>0</v>
      </c>
      <c r="E4" s="30">
        <f>D4</f>
        <v>0</v>
      </c>
      <c r="F4" s="32" t="str">
        <f t="shared" ref="F4:F34" si="1">IF(D4&gt;0,"Entrada líquida",IF(D4&lt;0,"Saída líquida","Sem movimento"))</f>
        <v>Sem movimento</v>
      </c>
    </row>
    <row r="5" spans="1:6">
      <c r="A5" s="14">
        <v>46024</v>
      </c>
      <c r="B5" s="30">
        <f>SUMIFS(Receitas!$G$4:$G$13,Receitas!$A$4:$A$13,A5,Receitas!$H$4:$H$13,"Recebido")</f>
        <v>0</v>
      </c>
      <c r="C5" s="30">
        <f>SUMIFS(Despesas!$G$4:$G$13,Despesas!$A$4:$A$13,A5,Despesas!$H$4:$H$13,"Pago")</f>
        <v>0</v>
      </c>
      <c r="D5" s="30">
        <f t="shared" si="0"/>
        <v>0</v>
      </c>
      <c r="E5" s="30">
        <f t="shared" ref="E5:E34" si="2">E4+D5</f>
        <v>0</v>
      </c>
      <c r="F5" s="32" t="str">
        <f t="shared" si="1"/>
        <v>Sem movimento</v>
      </c>
    </row>
    <row r="6" spans="1:6">
      <c r="A6" s="14">
        <v>46025</v>
      </c>
      <c r="B6" s="30">
        <f>SUMIFS(Receitas!$G$4:$G$13,Receitas!$A$4:$A$13,A6,Receitas!$H$4:$H$13,"Recebido")</f>
        <v>18500</v>
      </c>
      <c r="C6" s="30">
        <f>SUMIFS(Despesas!$G$4:$G$13,Despesas!$A$4:$A$13,A6,Despesas!$H$4:$H$13,"Pago")</f>
        <v>0</v>
      </c>
      <c r="D6" s="30">
        <f t="shared" si="0"/>
        <v>18500</v>
      </c>
      <c r="E6" s="30">
        <f t="shared" si="2"/>
        <v>18500</v>
      </c>
      <c r="F6" s="32" t="str">
        <f t="shared" si="1"/>
        <v>Entrada líquida</v>
      </c>
    </row>
    <row r="7" spans="1:6">
      <c r="A7" s="14">
        <v>46026</v>
      </c>
      <c r="B7" s="30">
        <f>SUMIFS(Receitas!$G$4:$G$13,Receitas!$A$4:$A$13,A7,Receitas!$H$4:$H$13,"Recebido")</f>
        <v>0</v>
      </c>
      <c r="C7" s="30">
        <f>SUMIFS(Despesas!$G$4:$G$13,Despesas!$A$4:$A$13,A7,Despesas!$H$4:$H$13,"Pago")</f>
        <v>12400</v>
      </c>
      <c r="D7" s="30">
        <f t="shared" si="0"/>
        <v>-12400</v>
      </c>
      <c r="E7" s="30">
        <f t="shared" si="2"/>
        <v>6100</v>
      </c>
      <c r="F7" s="32" t="str">
        <f t="shared" si="1"/>
        <v>Saída líquida</v>
      </c>
    </row>
    <row r="8" spans="1:6">
      <c r="A8" s="14">
        <v>46027</v>
      </c>
      <c r="B8" s="30">
        <f>SUMIFS(Receitas!$G$4:$G$13,Receitas!$A$4:$A$13,A8,Receitas!$H$4:$H$13,"Recebido")</f>
        <v>0</v>
      </c>
      <c r="C8" s="30">
        <f>SUMIFS(Despesas!$G$4:$G$13,Despesas!$A$4:$A$13,A8,Despesas!$H$4:$H$13,"Pago")</f>
        <v>38500</v>
      </c>
      <c r="D8" s="30">
        <f t="shared" si="0"/>
        <v>-38500</v>
      </c>
      <c r="E8" s="30">
        <f t="shared" si="2"/>
        <v>-32400</v>
      </c>
      <c r="F8" s="32" t="str">
        <f t="shared" si="1"/>
        <v>Saída líquida</v>
      </c>
    </row>
    <row r="9" spans="1:6">
      <c r="A9" s="14">
        <v>46028</v>
      </c>
      <c r="B9" s="30">
        <f>SUMIFS(Receitas!$G$4:$G$13,Receitas!$A$4:$A$13,A9,Receitas!$H$4:$H$13,"Recebido")</f>
        <v>9200</v>
      </c>
      <c r="C9" s="30">
        <f>SUMIFS(Despesas!$G$4:$G$13,Despesas!$A$4:$A$13,A9,Despesas!$H$4:$H$13,"Pago")</f>
        <v>0</v>
      </c>
      <c r="D9" s="30">
        <f t="shared" si="0"/>
        <v>9200</v>
      </c>
      <c r="E9" s="30">
        <f t="shared" si="2"/>
        <v>-23200</v>
      </c>
      <c r="F9" s="32" t="str">
        <f t="shared" si="1"/>
        <v>Entrada líquida</v>
      </c>
    </row>
    <row r="10" spans="1:6">
      <c r="A10" s="14">
        <v>46029</v>
      </c>
      <c r="B10" s="30">
        <f>SUMIFS(Receitas!$G$4:$G$13,Receitas!$A$4:$A$13,A10,Receitas!$H$4:$H$13,"Recebido")</f>
        <v>0</v>
      </c>
      <c r="C10" s="30">
        <f>SUMIFS(Despesas!$G$4:$G$13,Despesas!$A$4:$A$13,A10,Despesas!$H$4:$H$13,"Pago")</f>
        <v>0</v>
      </c>
      <c r="D10" s="30">
        <f t="shared" si="0"/>
        <v>0</v>
      </c>
      <c r="E10" s="30">
        <f t="shared" si="2"/>
        <v>-23200</v>
      </c>
      <c r="F10" s="32" t="str">
        <f t="shared" si="1"/>
        <v>Sem movimento</v>
      </c>
    </row>
    <row r="11" spans="1:6">
      <c r="A11" s="14">
        <v>46030</v>
      </c>
      <c r="B11" s="30">
        <f>SUMIFS(Receitas!$G$4:$G$13,Receitas!$A$4:$A$13,A11,Receitas!$H$4:$H$13,"Recebido")</f>
        <v>0</v>
      </c>
      <c r="C11" s="30">
        <f>SUMIFS(Despesas!$G$4:$G$13,Despesas!$A$4:$A$13,A11,Despesas!$H$4:$H$13,"Pago")</f>
        <v>6200</v>
      </c>
      <c r="D11" s="30">
        <f t="shared" si="0"/>
        <v>-6200</v>
      </c>
      <c r="E11" s="30">
        <f t="shared" si="2"/>
        <v>-29400</v>
      </c>
      <c r="F11" s="32" t="str">
        <f t="shared" si="1"/>
        <v>Saída líquida</v>
      </c>
    </row>
    <row r="12" spans="1:6">
      <c r="A12" s="14">
        <v>46031</v>
      </c>
      <c r="B12" s="30">
        <f>SUMIFS(Receitas!$G$4:$G$13,Receitas!$A$4:$A$13,A12,Receitas!$H$4:$H$13,"Recebido")</f>
        <v>27500</v>
      </c>
      <c r="C12" s="30">
        <f>SUMIFS(Despesas!$G$4:$G$13,Despesas!$A$4:$A$13,A12,Despesas!$H$4:$H$13,"Pago")</f>
        <v>0</v>
      </c>
      <c r="D12" s="30">
        <f t="shared" si="0"/>
        <v>27500</v>
      </c>
      <c r="E12" s="30">
        <f t="shared" si="2"/>
        <v>-1900</v>
      </c>
      <c r="F12" s="32" t="str">
        <f t="shared" si="1"/>
        <v>Entrada líquida</v>
      </c>
    </row>
    <row r="13" spans="1:6">
      <c r="A13" s="14">
        <v>46032</v>
      </c>
      <c r="B13" s="30">
        <f>SUMIFS(Receitas!$G$4:$G$13,Receitas!$A$4:$A$13,A13,Receitas!$H$4:$H$13,"Recebido")</f>
        <v>0</v>
      </c>
      <c r="C13" s="30">
        <f>SUMIFS(Despesas!$G$4:$G$13,Despesas!$A$4:$A$13,A13,Despesas!$H$4:$H$13,"Pago")</f>
        <v>7800</v>
      </c>
      <c r="D13" s="30">
        <f t="shared" si="0"/>
        <v>-7800</v>
      </c>
      <c r="E13" s="30">
        <f t="shared" si="2"/>
        <v>-9700</v>
      </c>
      <c r="F13" s="32" t="str">
        <f t="shared" si="1"/>
        <v>Saída líquida</v>
      </c>
    </row>
    <row r="14" spans="1:6">
      <c r="A14" s="14">
        <v>46033</v>
      </c>
      <c r="B14" s="30">
        <f>SUMIFS(Receitas!$G$4:$G$13,Receitas!$A$4:$A$13,A14,Receitas!$H$4:$H$13,"Recebido")</f>
        <v>0</v>
      </c>
      <c r="C14" s="30">
        <f>SUMIFS(Despesas!$G$4:$G$13,Despesas!$A$4:$A$13,A14,Despesas!$H$4:$H$13,"Pago")</f>
        <v>0</v>
      </c>
      <c r="D14" s="30">
        <f t="shared" si="0"/>
        <v>0</v>
      </c>
      <c r="E14" s="30">
        <f t="shared" si="2"/>
        <v>-9700</v>
      </c>
      <c r="F14" s="32" t="str">
        <f t="shared" si="1"/>
        <v>Sem movimento</v>
      </c>
    </row>
    <row r="15" spans="1:6">
      <c r="A15" s="14">
        <v>46034</v>
      </c>
      <c r="B15" s="30">
        <f>SUMIFS(Receitas!$G$4:$G$13,Receitas!$A$4:$A$13,A15,Receitas!$H$4:$H$13,"Recebido")</f>
        <v>14300</v>
      </c>
      <c r="C15" s="30">
        <f>SUMIFS(Despesas!$G$4:$G$13,Despesas!$A$4:$A$13,A15,Despesas!$H$4:$H$13,"Pago")</f>
        <v>0</v>
      </c>
      <c r="D15" s="30">
        <f t="shared" si="0"/>
        <v>14300</v>
      </c>
      <c r="E15" s="30">
        <f t="shared" si="2"/>
        <v>4600</v>
      </c>
      <c r="F15" s="32" t="str">
        <f t="shared" si="1"/>
        <v>Entrada líquida</v>
      </c>
    </row>
    <row r="16" spans="1:6">
      <c r="A16" s="14">
        <v>46035</v>
      </c>
      <c r="B16" s="30">
        <f>SUMIFS(Receitas!$G$4:$G$13,Receitas!$A$4:$A$13,A16,Receitas!$H$4:$H$13,"Recebido")</f>
        <v>0</v>
      </c>
      <c r="C16" s="30">
        <f>SUMIFS(Despesas!$G$4:$G$13,Despesas!$A$4:$A$13,A16,Despesas!$H$4:$H$13,"Pago")</f>
        <v>5400</v>
      </c>
      <c r="D16" s="30">
        <f t="shared" si="0"/>
        <v>-5400</v>
      </c>
      <c r="E16" s="30">
        <f t="shared" si="2"/>
        <v>-800</v>
      </c>
      <c r="F16" s="32" t="str">
        <f t="shared" si="1"/>
        <v>Saída líquida</v>
      </c>
    </row>
    <row r="17" spans="1:6">
      <c r="A17" s="14">
        <v>46036</v>
      </c>
      <c r="B17" s="30">
        <f>SUMIFS(Receitas!$G$4:$G$13,Receitas!$A$4:$A$13,A17,Receitas!$H$4:$H$13,"Recebido")</f>
        <v>0</v>
      </c>
      <c r="C17" s="30">
        <f>SUMIFS(Despesas!$G$4:$G$13,Despesas!$A$4:$A$13,A17,Despesas!$H$4:$H$13,"Pago")</f>
        <v>0</v>
      </c>
      <c r="D17" s="30">
        <f t="shared" si="0"/>
        <v>0</v>
      </c>
      <c r="E17" s="30">
        <f t="shared" si="2"/>
        <v>-800</v>
      </c>
      <c r="F17" s="32" t="str">
        <f t="shared" si="1"/>
        <v>Sem movimento</v>
      </c>
    </row>
    <row r="18" spans="1:6">
      <c r="A18" s="14">
        <v>46037</v>
      </c>
      <c r="B18" s="30">
        <f>SUMIFS(Receitas!$G$4:$G$13,Receitas!$A$4:$A$13,A18,Receitas!$H$4:$H$13,"Recebido")</f>
        <v>6800</v>
      </c>
      <c r="C18" s="30">
        <f>SUMIFS(Despesas!$G$4:$G$13,Despesas!$A$4:$A$13,A18,Despesas!$H$4:$H$13,"Pago")</f>
        <v>0</v>
      </c>
      <c r="D18" s="30">
        <f t="shared" si="0"/>
        <v>6800</v>
      </c>
      <c r="E18" s="30">
        <f t="shared" si="2"/>
        <v>6000</v>
      </c>
      <c r="F18" s="32" t="str">
        <f t="shared" si="1"/>
        <v>Entrada líquida</v>
      </c>
    </row>
    <row r="19" spans="1:6">
      <c r="A19" s="14">
        <v>46038</v>
      </c>
      <c r="B19" s="30">
        <f>SUMIFS(Receitas!$G$4:$G$13,Receitas!$A$4:$A$13,A19,Receitas!$H$4:$H$13,"Recebido")</f>
        <v>0</v>
      </c>
      <c r="C19" s="30">
        <f>SUMIFS(Despesas!$G$4:$G$13,Despesas!$A$4:$A$13,A19,Despesas!$H$4:$H$13,"Pago")</f>
        <v>9600</v>
      </c>
      <c r="D19" s="30">
        <f t="shared" si="0"/>
        <v>-9600</v>
      </c>
      <c r="E19" s="30">
        <f t="shared" si="2"/>
        <v>-3600</v>
      </c>
      <c r="F19" s="32" t="str">
        <f t="shared" si="1"/>
        <v>Saída líquida</v>
      </c>
    </row>
    <row r="20" spans="1:6">
      <c r="A20" s="14">
        <v>46039</v>
      </c>
      <c r="B20" s="30">
        <f>SUMIFS(Receitas!$G$4:$G$13,Receitas!$A$4:$A$13,A20,Receitas!$H$4:$H$13,"Recebido")</f>
        <v>0</v>
      </c>
      <c r="C20" s="30">
        <f>SUMIFS(Despesas!$G$4:$G$13,Despesas!$A$4:$A$13,A20,Despesas!$H$4:$H$13,"Pago")</f>
        <v>0</v>
      </c>
      <c r="D20" s="30">
        <f t="shared" si="0"/>
        <v>0</v>
      </c>
      <c r="E20" s="30">
        <f t="shared" si="2"/>
        <v>-3600</v>
      </c>
      <c r="F20" s="32" t="str">
        <f t="shared" si="1"/>
        <v>Sem movimento</v>
      </c>
    </row>
    <row r="21" spans="1:6">
      <c r="A21" s="14">
        <v>46040</v>
      </c>
      <c r="B21" s="30">
        <f>SUMIFS(Receitas!$G$4:$G$13,Receitas!$A$4:$A$13,A21,Receitas!$H$4:$H$13,"Recebido")</f>
        <v>0</v>
      </c>
      <c r="C21" s="30">
        <f>SUMIFS(Despesas!$G$4:$G$13,Despesas!$A$4:$A$13,A21,Despesas!$H$4:$H$13,"Pago")</f>
        <v>0</v>
      </c>
      <c r="D21" s="30">
        <f t="shared" si="0"/>
        <v>0</v>
      </c>
      <c r="E21" s="30">
        <f t="shared" si="2"/>
        <v>-3600</v>
      </c>
      <c r="F21" s="32" t="str">
        <f t="shared" si="1"/>
        <v>Sem movimento</v>
      </c>
    </row>
    <row r="22" spans="1:6">
      <c r="A22" s="14">
        <v>46041</v>
      </c>
      <c r="B22" s="30">
        <f>SUMIFS(Receitas!$G$4:$G$13,Receitas!$A$4:$A$13,A22,Receitas!$H$4:$H$13,"Recebido")</f>
        <v>22100</v>
      </c>
      <c r="C22" s="30">
        <f>SUMIFS(Despesas!$G$4:$G$13,Despesas!$A$4:$A$13,A22,Despesas!$H$4:$H$13,"Pago")</f>
        <v>0</v>
      </c>
      <c r="D22" s="30">
        <f t="shared" si="0"/>
        <v>22100</v>
      </c>
      <c r="E22" s="30">
        <f t="shared" si="2"/>
        <v>18500</v>
      </c>
      <c r="F22" s="32" t="str">
        <f t="shared" si="1"/>
        <v>Entrada líquida</v>
      </c>
    </row>
    <row r="23" spans="1:6">
      <c r="A23" s="14">
        <v>46042</v>
      </c>
      <c r="B23" s="30">
        <f>SUMIFS(Receitas!$G$4:$G$13,Receitas!$A$4:$A$13,A23,Receitas!$H$4:$H$13,"Recebido")</f>
        <v>0</v>
      </c>
      <c r="C23" s="30">
        <f>SUMIFS(Despesas!$G$4:$G$13,Despesas!$A$4:$A$13,A23,Despesas!$H$4:$H$13,"Pago")</f>
        <v>3100</v>
      </c>
      <c r="D23" s="30">
        <f t="shared" si="0"/>
        <v>-3100</v>
      </c>
      <c r="E23" s="30">
        <f t="shared" si="2"/>
        <v>15400</v>
      </c>
      <c r="F23" s="32" t="str">
        <f t="shared" si="1"/>
        <v>Saída líquida</v>
      </c>
    </row>
    <row r="24" spans="1:6">
      <c r="A24" s="14">
        <v>46043</v>
      </c>
      <c r="B24" s="30">
        <f>SUMIFS(Receitas!$G$4:$G$13,Receitas!$A$4:$A$13,A24,Receitas!$H$4:$H$13,"Recebido")</f>
        <v>0</v>
      </c>
      <c r="C24" s="30">
        <f>SUMIFS(Despesas!$G$4:$G$13,Despesas!$A$4:$A$13,A24,Despesas!$H$4:$H$13,"Pago")</f>
        <v>0</v>
      </c>
      <c r="D24" s="30">
        <f t="shared" si="0"/>
        <v>0</v>
      </c>
      <c r="E24" s="30">
        <f t="shared" si="2"/>
        <v>15400</v>
      </c>
      <c r="F24" s="32" t="str">
        <f t="shared" si="1"/>
        <v>Sem movimento</v>
      </c>
    </row>
    <row r="25" spans="1:6">
      <c r="A25" s="14">
        <v>46044</v>
      </c>
      <c r="B25" s="30">
        <f>SUMIFS(Receitas!$G$4:$G$13,Receitas!$A$4:$A$13,A25,Receitas!$H$4:$H$13,"Recebido")</f>
        <v>31200</v>
      </c>
      <c r="C25" s="30">
        <f>SUMIFS(Despesas!$G$4:$G$13,Despesas!$A$4:$A$13,A25,Despesas!$H$4:$H$13,"Pago")</f>
        <v>0</v>
      </c>
      <c r="D25" s="30">
        <f t="shared" si="0"/>
        <v>31200</v>
      </c>
      <c r="E25" s="30">
        <f t="shared" si="2"/>
        <v>46600</v>
      </c>
      <c r="F25" s="32" t="str">
        <f t="shared" si="1"/>
        <v>Entrada líquida</v>
      </c>
    </row>
    <row r="26" spans="1:6">
      <c r="A26" s="14">
        <v>46045</v>
      </c>
      <c r="B26" s="30">
        <f>SUMIFS(Receitas!$G$4:$G$13,Receitas!$A$4:$A$13,A26,Receitas!$H$4:$H$13,"Recebido")</f>
        <v>0</v>
      </c>
      <c r="C26" s="30">
        <f>SUMIFS(Despesas!$G$4:$G$13,Despesas!$A$4:$A$13,A26,Despesas!$H$4:$H$13,"Pago")</f>
        <v>11800</v>
      </c>
      <c r="D26" s="30">
        <f t="shared" si="0"/>
        <v>-11800</v>
      </c>
      <c r="E26" s="30">
        <f t="shared" si="2"/>
        <v>34800</v>
      </c>
      <c r="F26" s="32" t="str">
        <f t="shared" si="1"/>
        <v>Saída líquida</v>
      </c>
    </row>
    <row r="27" spans="1:6">
      <c r="A27" s="14">
        <v>46046</v>
      </c>
      <c r="B27" s="30">
        <f>SUMIFS(Receitas!$G$4:$G$13,Receitas!$A$4:$A$13,A27,Receitas!$H$4:$H$13,"Recebido")</f>
        <v>0</v>
      </c>
      <c r="C27" s="30">
        <f>SUMIFS(Despesas!$G$4:$G$13,Despesas!$A$4:$A$13,A27,Despesas!$H$4:$H$13,"Pago")</f>
        <v>0</v>
      </c>
      <c r="D27" s="30">
        <f t="shared" si="0"/>
        <v>0</v>
      </c>
      <c r="E27" s="30">
        <f t="shared" si="2"/>
        <v>34800</v>
      </c>
      <c r="F27" s="32" t="str">
        <f t="shared" si="1"/>
        <v>Sem movimento</v>
      </c>
    </row>
    <row r="28" spans="1:6">
      <c r="A28" s="14">
        <v>46047</v>
      </c>
      <c r="B28" s="30">
        <f>SUMIFS(Receitas!$G$4:$G$13,Receitas!$A$4:$A$13,A28,Receitas!$H$4:$H$13,"Recebido")</f>
        <v>0</v>
      </c>
      <c r="C28" s="30">
        <f>SUMIFS(Despesas!$G$4:$G$13,Despesas!$A$4:$A$13,A28,Despesas!$H$4:$H$13,"Pago")</f>
        <v>0</v>
      </c>
      <c r="D28" s="30">
        <f t="shared" si="0"/>
        <v>0</v>
      </c>
      <c r="E28" s="30">
        <f t="shared" si="2"/>
        <v>34800</v>
      </c>
      <c r="F28" s="32" t="str">
        <f t="shared" si="1"/>
        <v>Sem movimento</v>
      </c>
    </row>
    <row r="29" spans="1:6">
      <c r="A29" s="14">
        <v>46048</v>
      </c>
      <c r="B29" s="30">
        <f>SUMIFS(Receitas!$G$4:$G$13,Receitas!$A$4:$A$13,A29,Receitas!$H$4:$H$13,"Recebido")</f>
        <v>4500</v>
      </c>
      <c r="C29" s="30">
        <f>SUMIFS(Despesas!$G$4:$G$13,Despesas!$A$4:$A$13,A29,Despesas!$H$4:$H$13,"Pago")</f>
        <v>0</v>
      </c>
      <c r="D29" s="30">
        <f t="shared" si="0"/>
        <v>4500</v>
      </c>
      <c r="E29" s="30">
        <f t="shared" si="2"/>
        <v>39300</v>
      </c>
      <c r="F29" s="32" t="str">
        <f t="shared" si="1"/>
        <v>Entrada líquida</v>
      </c>
    </row>
    <row r="30" spans="1:6">
      <c r="A30" s="14">
        <v>46049</v>
      </c>
      <c r="B30" s="30">
        <f>SUMIFS(Receitas!$G$4:$G$13,Receitas!$A$4:$A$13,A30,Receitas!$H$4:$H$13,"Recebido")</f>
        <v>0</v>
      </c>
      <c r="C30" s="30">
        <f>SUMIFS(Despesas!$G$4:$G$13,Despesas!$A$4:$A$13,A30,Despesas!$H$4:$H$13,"Pago")</f>
        <v>0</v>
      </c>
      <c r="D30" s="30">
        <f t="shared" si="0"/>
        <v>0</v>
      </c>
      <c r="E30" s="30">
        <f t="shared" si="2"/>
        <v>39300</v>
      </c>
      <c r="F30" s="32" t="str">
        <f t="shared" si="1"/>
        <v>Sem movimento</v>
      </c>
    </row>
    <row r="31" spans="1:6">
      <c r="A31" s="14">
        <v>46050</v>
      </c>
      <c r="B31" s="30">
        <f>SUMIFS(Receitas!$G$4:$G$13,Receitas!$A$4:$A$13,A31,Receitas!$H$4:$H$13,"Recebido")</f>
        <v>0</v>
      </c>
      <c r="C31" s="30">
        <f>SUMIFS(Despesas!$G$4:$G$13,Despesas!$A$4:$A$13,A31,Despesas!$H$4:$H$13,"Pago")</f>
        <v>0</v>
      </c>
      <c r="D31" s="30">
        <f t="shared" si="0"/>
        <v>0</v>
      </c>
      <c r="E31" s="30">
        <f t="shared" si="2"/>
        <v>39300</v>
      </c>
      <c r="F31" s="32" t="str">
        <f t="shared" si="1"/>
        <v>Sem movimento</v>
      </c>
    </row>
    <row r="32" spans="1:6">
      <c r="A32" s="14">
        <v>46051</v>
      </c>
      <c r="B32" s="30">
        <f>SUMIFS(Receitas!$G$4:$G$13,Receitas!$A$4:$A$13,A32,Receitas!$H$4:$H$13,"Recebido")</f>
        <v>0</v>
      </c>
      <c r="C32" s="30">
        <f>SUMIFS(Despesas!$G$4:$G$13,Despesas!$A$4:$A$13,A32,Despesas!$H$4:$H$13,"Pago")</f>
        <v>0</v>
      </c>
      <c r="D32" s="30">
        <f t="shared" si="0"/>
        <v>0</v>
      </c>
      <c r="E32" s="30">
        <f t="shared" si="2"/>
        <v>39300</v>
      </c>
      <c r="F32" s="32" t="str">
        <f t="shared" si="1"/>
        <v>Sem movimento</v>
      </c>
    </row>
    <row r="33" spans="1:6">
      <c r="A33" s="14">
        <v>46052</v>
      </c>
      <c r="B33" s="30">
        <f>SUMIFS(Receitas!$G$4:$G$13,Receitas!$A$4:$A$13,A33,Receitas!$H$4:$H$13,"Recebido")</f>
        <v>0</v>
      </c>
      <c r="C33" s="30">
        <f>SUMIFS(Despesas!$G$4:$G$13,Despesas!$A$4:$A$13,A33,Despesas!$H$4:$H$13,"Pago")</f>
        <v>0</v>
      </c>
      <c r="D33" s="30">
        <f t="shared" si="0"/>
        <v>0</v>
      </c>
      <c r="E33" s="30">
        <f t="shared" si="2"/>
        <v>39300</v>
      </c>
      <c r="F33" s="32" t="str">
        <f t="shared" si="1"/>
        <v>Sem movimento</v>
      </c>
    </row>
    <row r="34" spans="1:6">
      <c r="A34" s="14">
        <v>46053</v>
      </c>
      <c r="B34" s="30">
        <f>SUMIFS(Receitas!$G$4:$G$13,Receitas!$A$4:$A$13,A34,Receitas!$H$4:$H$13,"Recebido")</f>
        <v>0</v>
      </c>
      <c r="C34" s="30">
        <f>SUMIFS(Despesas!$G$4:$G$13,Despesas!$A$4:$A$13,A34,Despesas!$H$4:$H$13,"Pago")</f>
        <v>0</v>
      </c>
      <c r="D34" s="30">
        <f t="shared" si="0"/>
        <v>0</v>
      </c>
      <c r="E34" s="30">
        <f t="shared" si="2"/>
        <v>39300</v>
      </c>
      <c r="F34" s="32" t="str">
        <f t="shared" si="1"/>
        <v>Sem movimento</v>
      </c>
    </row>
  </sheetData>
  <mergeCells count="1">
    <mergeCell ref="A1:F1"/>
  </mergeCells>
  <conditionalFormatting sqref="E4:E34">
    <cfRule type="cellIs" priority="2" operator="lessThan">
      <formula>0</formula>
    </cfRule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N27"/>
  <sheetViews>
    <sheetView topLeftCell="C1" workbookViewId="0">
      <selection activeCell="E16" sqref="E16:E22"/>
    </sheetView>
  </sheetViews>
  <sheetFormatPr defaultRowHeight="14.25"/>
  <cols>
    <col min="1" max="1" width="24" customWidth="1"/>
    <col min="2" max="3" width="16" customWidth="1"/>
    <col min="4" max="4" width="24" customWidth="1"/>
    <col min="5" max="14" width="16" customWidth="1"/>
  </cols>
  <sheetData>
    <row r="1" spans="1:14" ht="30" customHeight="1">
      <c r="A1" s="35" t="s">
        <v>117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3" spans="1:14">
      <c r="A3" s="38" t="s">
        <v>118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5" spans="1:14" ht="16.5">
      <c r="A5" s="6" t="s">
        <v>119</v>
      </c>
      <c r="B5" s="25">
        <f>SUM(Receitas!G4:G13)</f>
        <v>162800</v>
      </c>
      <c r="D5" s="6" t="s">
        <v>120</v>
      </c>
      <c r="E5" s="24">
        <f>SUMIFS(Receitas!G4:G13,Receitas!H4:H13,"Recebido")</f>
        <v>134100</v>
      </c>
      <c r="G5" s="6" t="s">
        <v>121</v>
      </c>
      <c r="H5" s="25">
        <f>SUM(Despesas!G4:G13)</f>
        <v>107300</v>
      </c>
      <c r="J5" s="6" t="s">
        <v>122</v>
      </c>
      <c r="K5" s="25">
        <f>SUMIFS(Despesas!G4:G13,Despesas!H4:H13,"Pago")</f>
        <v>94800</v>
      </c>
    </row>
    <row r="8" spans="1:14" ht="30">
      <c r="A8" s="6" t="s">
        <v>123</v>
      </c>
      <c r="B8" s="25">
        <f>B5-H5</f>
        <v>55500</v>
      </c>
      <c r="D8" s="6" t="s">
        <v>124</v>
      </c>
      <c r="E8" s="8">
        <f>E5-K5</f>
        <v>39300</v>
      </c>
      <c r="G8" s="6" t="s">
        <v>125</v>
      </c>
      <c r="H8" s="26">
        <f>IFERROR(E8/E5,0)</f>
        <v>0.29306487695749439</v>
      </c>
      <c r="J8" s="6" t="s">
        <v>126</v>
      </c>
      <c r="K8" s="25">
        <f>SUMIFS(Receitas!G4:G13,Receitas!H4:H13,"Pendente")</f>
        <v>28700</v>
      </c>
    </row>
    <row r="11" spans="1:14" ht="30">
      <c r="A11" s="6" t="s">
        <v>127</v>
      </c>
      <c r="B11" s="25">
        <f>SUMIFS(Despesas!G4:G13,Despesas!H4:H13,"Pendente")</f>
        <v>12500</v>
      </c>
      <c r="D11" s="6" t="s">
        <v>128</v>
      </c>
      <c r="E11" s="7">
        <f>COUNTIFS(Receitas!A4:A13,"&gt;0")</f>
        <v>10</v>
      </c>
      <c r="G11" s="6" t="s">
        <v>129</v>
      </c>
      <c r="H11" s="7">
        <f>COUNTIFS(Despesas!A4:A13,"&gt;0")</f>
        <v>10</v>
      </c>
      <c r="J11" s="6" t="s">
        <v>130</v>
      </c>
      <c r="K11" s="25">
        <f>'Fluxo de Caixa'!E34</f>
        <v>39300</v>
      </c>
    </row>
    <row r="15" spans="1:14" ht="15">
      <c r="A15" s="3" t="s">
        <v>131</v>
      </c>
      <c r="B15" s="3" t="s">
        <v>56</v>
      </c>
      <c r="D15" s="3" t="s">
        <v>132</v>
      </c>
      <c r="E15" s="3" t="s">
        <v>56</v>
      </c>
    </row>
    <row r="16" spans="1:14">
      <c r="A16" t="s">
        <v>23</v>
      </c>
      <c r="B16" s="27">
        <f>SUMIFS(Receitas!$G$4:$G$13,Receitas!$E$4:$E$13,A16)</f>
        <v>71800</v>
      </c>
      <c r="D16" t="s">
        <v>36</v>
      </c>
      <c r="E16" s="27">
        <f>SUMIFS(Despesas!$G$4:$G$13,Despesas!$E$4:$E$13,D16)</f>
        <v>30300</v>
      </c>
    </row>
    <row r="17" spans="1:5">
      <c r="A17" t="s">
        <v>26</v>
      </c>
      <c r="B17" s="27">
        <f>SUMIFS(Receitas!$G$4:$G$13,Receitas!$E$4:$E$13,A17)</f>
        <v>27800</v>
      </c>
      <c r="D17" t="s">
        <v>39</v>
      </c>
      <c r="E17" s="27">
        <f>SUMIFS(Despesas!$G$4:$G$13,Despesas!$E$4:$E$13,D17)</f>
        <v>38500</v>
      </c>
    </row>
    <row r="18" spans="1:5">
      <c r="A18" t="s">
        <v>29</v>
      </c>
      <c r="B18" s="27">
        <f>SUMIFS(Receitas!$G$4:$G$13,Receitas!$E$4:$E$13,A18)</f>
        <v>58700</v>
      </c>
      <c r="D18" t="s">
        <v>42</v>
      </c>
      <c r="E18" s="27">
        <f>SUMIFS(Despesas!$G$4:$G$13,Despesas!$E$4:$E$13,D18)</f>
        <v>6200</v>
      </c>
    </row>
    <row r="19" spans="1:5">
      <c r="A19" t="s">
        <v>32</v>
      </c>
      <c r="B19" s="27">
        <f>SUMIFS(Receitas!$G$4:$G$13,Receitas!$E$4:$E$13,A19)</f>
        <v>4500</v>
      </c>
      <c r="D19" t="s">
        <v>44</v>
      </c>
      <c r="E19" s="27">
        <f>SUMIFS(Despesas!$G$4:$G$13,Despesas!$E$4:$E$13,D19)</f>
        <v>12000</v>
      </c>
    </row>
    <row r="20" spans="1:5">
      <c r="D20" t="s">
        <v>47</v>
      </c>
      <c r="E20" s="27">
        <f>SUMIFS(Despesas!$G$4:$G$13,Despesas!$E$4:$E$13,D20)</f>
        <v>5400</v>
      </c>
    </row>
    <row r="21" spans="1:5">
      <c r="D21" t="s">
        <v>33</v>
      </c>
      <c r="E21" s="27">
        <f>SUMIFS(Despesas!$G$4:$G$13,Despesas!$E$4:$E$13,D21)</f>
        <v>3100</v>
      </c>
    </row>
    <row r="22" spans="1:5">
      <c r="D22" t="s">
        <v>50</v>
      </c>
      <c r="E22" s="27">
        <f>SUMIFS(Despesas!$G$4:$G$13,Despesas!$E$4:$E$13,D22)</f>
        <v>11800</v>
      </c>
    </row>
    <row r="24" spans="1:5" ht="15">
      <c r="A24" s="3" t="s">
        <v>133</v>
      </c>
      <c r="B24" s="3" t="s">
        <v>56</v>
      </c>
    </row>
    <row r="25" spans="1:5">
      <c r="A25" t="s">
        <v>120</v>
      </c>
      <c r="B25" s="27">
        <f>E5</f>
        <v>134100</v>
      </c>
    </row>
    <row r="26" spans="1:5">
      <c r="A26" t="s">
        <v>122</v>
      </c>
      <c r="B26" s="27">
        <f>K5</f>
        <v>94800</v>
      </c>
    </row>
    <row r="27" spans="1:5">
      <c r="A27" t="s">
        <v>124</v>
      </c>
      <c r="B27" s="27">
        <f>E8</f>
        <v>39300</v>
      </c>
    </row>
  </sheetData>
  <mergeCells count="2">
    <mergeCell ref="A1:N1"/>
    <mergeCell ref="A3:N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selection sqref="A1:D1"/>
    </sheetView>
  </sheetViews>
  <sheetFormatPr defaultRowHeight="14.25"/>
  <cols>
    <col min="1" max="1" width="28" customWidth="1"/>
    <col min="2" max="2" width="42" customWidth="1"/>
    <col min="3" max="3" width="52" customWidth="1"/>
    <col min="4" max="4" width="28" customWidth="1"/>
  </cols>
  <sheetData>
    <row r="1" spans="1:4" ht="30" customHeight="1">
      <c r="A1" s="35" t="s">
        <v>134</v>
      </c>
      <c r="B1" s="35"/>
      <c r="C1" s="35"/>
      <c r="D1" s="35"/>
    </row>
    <row r="3" spans="1:4" ht="15">
      <c r="A3" s="3" t="s">
        <v>135</v>
      </c>
      <c r="B3" s="3" t="s">
        <v>136</v>
      </c>
      <c r="C3" s="3" t="s">
        <v>137</v>
      </c>
      <c r="D3" s="3" t="s">
        <v>138</v>
      </c>
    </row>
    <row r="4" spans="1:4" ht="15">
      <c r="A4" s="9" t="s">
        <v>139</v>
      </c>
      <c r="B4" s="2" t="s">
        <v>140</v>
      </c>
      <c r="C4" s="2" t="s">
        <v>141</v>
      </c>
      <c r="D4" s="2" t="s">
        <v>142</v>
      </c>
    </row>
    <row r="5" spans="1:4" ht="29.25">
      <c r="A5" s="9" t="s">
        <v>143</v>
      </c>
      <c r="B5" s="2" t="s">
        <v>144</v>
      </c>
      <c r="C5" s="2" t="s">
        <v>145</v>
      </c>
      <c r="D5" s="2" t="s">
        <v>142</v>
      </c>
    </row>
    <row r="6" spans="1:4" ht="15">
      <c r="A6" s="9" t="s">
        <v>146</v>
      </c>
      <c r="B6" s="2" t="s">
        <v>147</v>
      </c>
      <c r="C6" s="2" t="s">
        <v>148</v>
      </c>
      <c r="D6" s="2" t="s">
        <v>142</v>
      </c>
    </row>
    <row r="7" spans="1:4" ht="15">
      <c r="A7" s="9" t="s">
        <v>149</v>
      </c>
      <c r="B7" s="2" t="s">
        <v>150</v>
      </c>
      <c r="C7" s="2" t="s">
        <v>151</v>
      </c>
      <c r="D7" s="2" t="s">
        <v>142</v>
      </c>
    </row>
    <row r="8" spans="1:4" ht="15">
      <c r="A8" s="9" t="s">
        <v>152</v>
      </c>
      <c r="B8" s="2" t="s">
        <v>153</v>
      </c>
      <c r="C8" s="2" t="s">
        <v>154</v>
      </c>
      <c r="D8" s="2" t="s">
        <v>155</v>
      </c>
    </row>
    <row r="9" spans="1:4" ht="15">
      <c r="A9" s="9" t="s">
        <v>156</v>
      </c>
      <c r="B9" s="2" t="s">
        <v>157</v>
      </c>
      <c r="C9" s="2" t="s">
        <v>158</v>
      </c>
      <c r="D9" s="2" t="s">
        <v>142</v>
      </c>
    </row>
    <row r="10" spans="1:4" ht="15">
      <c r="A10" s="9" t="s">
        <v>159</v>
      </c>
      <c r="B10" s="2" t="s">
        <v>160</v>
      </c>
      <c r="C10" s="2" t="s">
        <v>161</v>
      </c>
      <c r="D10" s="2" t="s">
        <v>142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LEIA-ME</vt:lpstr>
      <vt:lpstr>Cadastro</vt:lpstr>
      <vt:lpstr>Receitas</vt:lpstr>
      <vt:lpstr>Despesas</vt:lpstr>
      <vt:lpstr>Contas</vt:lpstr>
      <vt:lpstr>Fluxo de Caixa</vt:lpstr>
      <vt:lpstr>Dashboard</vt:lpstr>
      <vt:lpstr>Fórmulas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cpd.07</cp:lastModifiedBy>
  <dcterms:modified xsi:type="dcterms:W3CDTF">2026-09-24T19:10:08Z</dcterms:modified>
</cp:coreProperties>
</file>